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E\Desktop\Minaz Abey Agro Data analysis\"/>
    </mc:Choice>
  </mc:AlternateContent>
  <xr:revisionPtr revIDLastSave="0" documentId="13_ncr:1_{D7976177-8C6E-4FB9-913D-0C2560F14375}" xr6:coauthVersionLast="47" xr6:coauthVersionMax="47" xr10:uidLastSave="{00000000-0000-0000-0000-000000000000}"/>
  <bookViews>
    <workbookView xWindow="-120" yWindow="-120" windowWidth="20730" windowHeight="11160" activeTab="1" xr2:uid="{863F65E0-0589-4067-AE32-CA16A7948AEE}"/>
  </bookViews>
  <sheets>
    <sheet name="march 2026" sheetId="1" r:id="rId1"/>
    <sheet name="April 2026" sheetId="2" r:id="rId2"/>
    <sheet name="May2026" sheetId="3" r:id="rId3"/>
    <sheet name="Sheet1" sheetId="4" r:id="rId4"/>
  </sheets>
  <definedNames>
    <definedName name="_xlnm.Print_Area" localSheetId="1">'April 2026'!$A$1:$V$55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7" i="3" l="1"/>
  <c r="E50" i="3"/>
  <c r="E52" i="3" s="1"/>
  <c r="G47" i="3"/>
  <c r="E56" i="3" s="1"/>
  <c r="E58" i="3" s="1"/>
  <c r="G41" i="3"/>
  <c r="C50" i="2"/>
  <c r="C44" i="2"/>
  <c r="C46" i="2" s="1"/>
  <c r="C49" i="2" s="1"/>
  <c r="E35" i="2"/>
  <c r="E39" i="2"/>
  <c r="G9" i="3"/>
  <c r="G8" i="3"/>
  <c r="G4" i="3"/>
  <c r="G11" i="3" s="1"/>
  <c r="G15" i="3"/>
  <c r="G17" i="3" s="1"/>
  <c r="E25" i="3" s="1"/>
  <c r="C48" i="2"/>
  <c r="E41" i="2"/>
  <c r="E30" i="2"/>
  <c r="E33" i="2"/>
  <c r="E13" i="2"/>
  <c r="E15" i="2" s="1"/>
  <c r="C23" i="2" s="1"/>
  <c r="E4" i="2"/>
  <c r="E3" i="2"/>
  <c r="C88" i="1"/>
  <c r="C89" i="1" s="1"/>
  <c r="C87" i="1"/>
  <c r="E84" i="1"/>
  <c r="E82" i="1"/>
  <c r="E78" i="1"/>
  <c r="E77" i="1"/>
  <c r="C68" i="1"/>
  <c r="E63" i="1"/>
  <c r="G63" i="1" s="1"/>
  <c r="E64" i="1"/>
  <c r="G64" i="1" s="1"/>
  <c r="E52" i="1"/>
  <c r="B57" i="1" s="1"/>
  <c r="B59" i="1" s="1"/>
  <c r="B39" i="1"/>
  <c r="E33" i="1"/>
  <c r="G33" i="1" s="1"/>
  <c r="A42" i="1" s="1"/>
  <c r="B18" i="1"/>
  <c r="B22" i="1" s="1"/>
  <c r="F4" i="1"/>
  <c r="E12" i="1"/>
  <c r="F12" i="1" s="1"/>
  <c r="A22" i="1" s="1"/>
  <c r="F29" i="1"/>
  <c r="B42" i="1" s="1"/>
  <c r="E20" i="3" l="1"/>
  <c r="E22" i="3" s="1"/>
  <c r="E26" i="3" s="1"/>
  <c r="E27" i="3" s="1"/>
  <c r="E9" i="2"/>
  <c r="C18" i="2" s="1"/>
  <c r="C20" i="2" s="1"/>
  <c r="C24" i="2" s="1"/>
  <c r="C25" i="2" s="1"/>
  <c r="G65" i="1"/>
  <c r="C67" i="1" s="1"/>
  <c r="C69" i="1" s="1"/>
  <c r="C42" i="1"/>
  <c r="C22" i="1"/>
</calcChain>
</file>

<file path=xl/sharedStrings.xml><?xml version="1.0" encoding="utf-8"?>
<sst xmlns="http://schemas.openxmlformats.org/spreadsheetml/2006/main" count="315" uniqueCount="121">
  <si>
    <t xml:space="preserve"> </t>
  </si>
  <si>
    <t>Date</t>
  </si>
  <si>
    <t>Name</t>
  </si>
  <si>
    <t>Unit Price</t>
  </si>
  <si>
    <t>Total Price</t>
  </si>
  <si>
    <t>Afa Suraju</t>
  </si>
  <si>
    <t>Pual</t>
  </si>
  <si>
    <t>Quantity  (KG)</t>
  </si>
  <si>
    <t>Iya warisi</t>
  </si>
  <si>
    <t>Total</t>
  </si>
  <si>
    <t>Minaz Abey PK Prodction    Supply</t>
  </si>
  <si>
    <t xml:space="preserve"> Production  Palm Kernel Oil and Cake</t>
  </si>
  <si>
    <t>Quantity (liters)</t>
  </si>
  <si>
    <t>MinaAbeyAgro</t>
  </si>
  <si>
    <t>13-02-2026</t>
  </si>
  <si>
    <t>Expenses</t>
  </si>
  <si>
    <t>Total Product</t>
  </si>
  <si>
    <t>Transportion</t>
  </si>
  <si>
    <t>Total Expense</t>
  </si>
  <si>
    <t>Profit Or Lost</t>
  </si>
  <si>
    <t>Total Expenses</t>
  </si>
  <si>
    <t>Total Income</t>
  </si>
  <si>
    <t>`</t>
  </si>
  <si>
    <t>Lost</t>
  </si>
  <si>
    <t>13-03-2026</t>
  </si>
  <si>
    <t>Minazabeyagro</t>
  </si>
  <si>
    <t>Total Price  Liter</t>
  </si>
  <si>
    <t>PK Cake</t>
  </si>
  <si>
    <t>Profit</t>
  </si>
  <si>
    <t>Total Price of Litter</t>
  </si>
  <si>
    <t>14/3/2026</t>
  </si>
  <si>
    <t>IYA SAMUEL</t>
  </si>
  <si>
    <t>IYA ABIODUN</t>
  </si>
  <si>
    <t>IYA WARISI</t>
  </si>
  <si>
    <t>53 CONGO</t>
  </si>
  <si>
    <t>43 CONGO</t>
  </si>
  <si>
    <t>60  CONGO</t>
  </si>
  <si>
    <t xml:space="preserve">PUAL </t>
  </si>
  <si>
    <t>P 2-1-0</t>
  </si>
  <si>
    <t>TOTAL</t>
  </si>
  <si>
    <t>P 2-2-20</t>
  </si>
  <si>
    <t>DATE</t>
  </si>
  <si>
    <t>17-03-2026</t>
  </si>
  <si>
    <t>TOTAL   EXPENSES</t>
  </si>
  <si>
    <t>PROFIT</t>
  </si>
  <si>
    <t>TOTAL  INCOME</t>
  </si>
  <si>
    <t>Mr Paul</t>
  </si>
  <si>
    <t>p 3-2-2</t>
  </si>
  <si>
    <t>18-03-2026</t>
  </si>
  <si>
    <t>Iya Samu</t>
  </si>
  <si>
    <t>24  Congo</t>
  </si>
  <si>
    <t>Iya Teacher</t>
  </si>
  <si>
    <t>4 Congo</t>
  </si>
  <si>
    <t>78 CONGO</t>
  </si>
  <si>
    <t>50 Congo</t>
  </si>
  <si>
    <t>20 Congo</t>
  </si>
  <si>
    <t>2-2-16</t>
  </si>
  <si>
    <t>1-3-05</t>
  </si>
  <si>
    <t>MR TOMIWA</t>
  </si>
  <si>
    <t>22-03-2026</t>
  </si>
  <si>
    <t>390 KG</t>
  </si>
  <si>
    <t>Mr Paul Igbo</t>
  </si>
  <si>
    <t>4-3-12</t>
  </si>
  <si>
    <t>19/4/2026</t>
  </si>
  <si>
    <t>Transport</t>
  </si>
  <si>
    <t>Total expense</t>
  </si>
  <si>
    <t>Total  Cost</t>
  </si>
  <si>
    <t>Profit/Loss</t>
  </si>
  <si>
    <t>19/04/2026</t>
  </si>
  <si>
    <t>3-3-4</t>
  </si>
  <si>
    <t>IYA  MUTU</t>
  </si>
  <si>
    <t>4-3-20</t>
  </si>
  <si>
    <t>IYAWO SEJU SEJU</t>
  </si>
  <si>
    <t>41 congo</t>
  </si>
  <si>
    <t>21-04-2026</t>
  </si>
  <si>
    <t>Mr Tompson</t>
  </si>
  <si>
    <t>3-1-0</t>
  </si>
  <si>
    <t>19-04-2026</t>
  </si>
  <si>
    <t>iya waris</t>
  </si>
  <si>
    <t>42 congo</t>
  </si>
  <si>
    <t>25/4/2026</t>
  </si>
  <si>
    <t>1-3-18</t>
  </si>
  <si>
    <t>IYA  Wajudu</t>
  </si>
  <si>
    <t>41 CONGO</t>
  </si>
  <si>
    <t>IYA FARU</t>
  </si>
  <si>
    <t>34 CONGO</t>
  </si>
  <si>
    <t>MRS  KEMI</t>
  </si>
  <si>
    <t>22 CONGO</t>
  </si>
  <si>
    <t>25-04-2026</t>
  </si>
  <si>
    <t>26/4/2026</t>
  </si>
  <si>
    <t>29/4/2026</t>
  </si>
  <si>
    <t>IYA OJO</t>
  </si>
  <si>
    <t>14 CONGO</t>
  </si>
  <si>
    <t>IYA LAKO</t>
  </si>
  <si>
    <t>27/4/2026</t>
  </si>
  <si>
    <t>Iyawo Ayesoro</t>
  </si>
  <si>
    <t>2 Stone</t>
  </si>
  <si>
    <t>Iya Aresoro</t>
  </si>
  <si>
    <t>iya faru</t>
  </si>
  <si>
    <t>2 Stone and 10 congo</t>
  </si>
  <si>
    <t>Iya  Ojo Ayepe</t>
  </si>
  <si>
    <t>35 CONGO</t>
  </si>
  <si>
    <t>Iya Ayo</t>
  </si>
  <si>
    <t>Iya Ayo  faru</t>
  </si>
  <si>
    <t>14  congo</t>
  </si>
  <si>
    <t>ile Ayesoro</t>
  </si>
  <si>
    <t>28  congo</t>
  </si>
  <si>
    <t xml:space="preserve">Iya olope  faru </t>
  </si>
  <si>
    <t>62 congo</t>
  </si>
  <si>
    <t>15  CONGO</t>
  </si>
  <si>
    <t>Ayo</t>
  </si>
  <si>
    <t>32congo</t>
  </si>
  <si>
    <t>Goods Supply To Area from Minazabeyagro</t>
  </si>
  <si>
    <t>Suppier</t>
  </si>
  <si>
    <t>Buyer</t>
  </si>
  <si>
    <t>Amont in torn</t>
  </si>
  <si>
    <t xml:space="preserve">Amont  In Sanderdized </t>
  </si>
  <si>
    <t xml:space="preserve">Weight </t>
  </si>
  <si>
    <t>No of Bags</t>
  </si>
  <si>
    <t>Area</t>
  </si>
  <si>
    <t>Total  Goods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</si>
</sst>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₦-466]\ #,##0.00"/>
    <numFmt numFmtId="165" formatCode="[$-F800]dddd\,\ mmmm\ dd\,\ yyyy"/>
  </numFmts>
  <fonts count="24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Arial Black"/>
      <family val="2"/>
    </font>
    <font>
      <b/>
      <sz val="11"/>
      <color rgb="FFFF0000"/>
      <name val="Arial Black"/>
      <family val="2"/>
    </font>
    <font>
      <b/>
      <sz val="16"/>
      <color theme="1"/>
      <name val="Times New Roman"/>
      <family val="1"/>
    </font>
    <font>
      <b/>
      <sz val="11"/>
      <color theme="4"/>
      <name val="Times New Roman"/>
      <family val="1"/>
    </font>
    <font>
      <sz val="11"/>
      <color theme="4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4"/>
      <name val="Times New Roman"/>
      <family val="1"/>
    </font>
    <font>
      <b/>
      <sz val="11"/>
      <name val="Arial Black"/>
      <family val="2"/>
    </font>
    <font>
      <b/>
      <sz val="18"/>
      <name val="Times New Roman"/>
      <family val="1"/>
    </font>
    <font>
      <sz val="14"/>
      <color theme="1"/>
      <name val="Times New Roman"/>
      <family val="1"/>
    </font>
    <font>
      <b/>
      <sz val="16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Arial Black"/>
      <family val="2"/>
    </font>
    <font>
      <b/>
      <sz val="16"/>
      <color theme="0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Times New Roman"/>
      <family val="1"/>
    </font>
    <font>
      <b/>
      <sz val="16"/>
      <color theme="0"/>
      <name val="Times New Roman"/>
      <family val="1"/>
    </font>
    <font>
      <b/>
      <sz val="14"/>
      <color theme="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4" fontId="4" fillId="0" borderId="0" xfId="0" applyNumberFormat="1" applyFont="1"/>
    <xf numFmtId="0" fontId="2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/>
    <xf numFmtId="0" fontId="0" fillId="2" borderId="0" xfId="0" applyFill="1"/>
    <xf numFmtId="14" fontId="8" fillId="0" borderId="0" xfId="0" applyNumberFormat="1" applyFont="1"/>
    <xf numFmtId="0" fontId="8" fillId="0" borderId="0" xfId="0" applyFont="1"/>
    <xf numFmtId="0" fontId="9" fillId="0" borderId="0" xfId="0" applyFont="1"/>
    <xf numFmtId="0" fontId="5" fillId="4" borderId="0" xfId="0" applyFont="1" applyFill="1"/>
    <xf numFmtId="0" fontId="10" fillId="0" borderId="0" xfId="0" applyFont="1" applyAlignment="1">
      <alignment horizontal="center"/>
    </xf>
    <xf numFmtId="14" fontId="8" fillId="0" borderId="0" xfId="0" applyNumberFormat="1" applyFont="1" applyAlignment="1">
      <alignment horizontal="left"/>
    </xf>
    <xf numFmtId="0" fontId="0" fillId="3" borderId="0" xfId="0" applyFill="1"/>
    <xf numFmtId="164" fontId="10" fillId="0" borderId="0" xfId="0" applyNumberFormat="1" applyFont="1"/>
    <xf numFmtId="164" fontId="8" fillId="0" borderId="0" xfId="0" applyNumberFormat="1" applyFont="1"/>
    <xf numFmtId="164" fontId="11" fillId="0" borderId="0" xfId="0" applyNumberFormat="1" applyFont="1"/>
    <xf numFmtId="164" fontId="3" fillId="5" borderId="0" xfId="0" applyNumberFormat="1" applyFont="1" applyFill="1"/>
    <xf numFmtId="164" fontId="11" fillId="6" borderId="0" xfId="0" applyNumberFormat="1" applyFont="1" applyFill="1"/>
    <xf numFmtId="0" fontId="13" fillId="0" borderId="0" xfId="0" applyFont="1"/>
    <xf numFmtId="0" fontId="8" fillId="0" borderId="0" xfId="0" applyFont="1" applyAlignment="1">
      <alignment horizontal="center"/>
    </xf>
    <xf numFmtId="164" fontId="13" fillId="0" borderId="0" xfId="0" applyNumberFormat="1" applyFont="1"/>
    <xf numFmtId="164" fontId="0" fillId="0" borderId="0" xfId="0" applyNumberFormat="1"/>
    <xf numFmtId="165" fontId="0" fillId="0" borderId="0" xfId="0" applyNumberFormat="1"/>
    <xf numFmtId="14" fontId="3" fillId="0" borderId="0" xfId="0" applyNumberFormat="1" applyFont="1"/>
    <xf numFmtId="164" fontId="14" fillId="0" borderId="0" xfId="0" applyNumberFormat="1" applyFont="1"/>
    <xf numFmtId="164" fontId="5" fillId="0" borderId="0" xfId="0" applyNumberFormat="1" applyFont="1"/>
    <xf numFmtId="14" fontId="15" fillId="0" borderId="0" xfId="0" applyNumberFormat="1" applyFont="1"/>
    <xf numFmtId="0" fontId="15" fillId="0" borderId="0" xfId="0" applyFont="1"/>
    <xf numFmtId="49" fontId="14" fillId="0" borderId="0" xfId="0" applyNumberFormat="1" applyFont="1"/>
    <xf numFmtId="0" fontId="16" fillId="0" borderId="0" xfId="0" applyFont="1"/>
    <xf numFmtId="14" fontId="16" fillId="0" borderId="0" xfId="0" applyNumberFormat="1" applyFont="1"/>
    <xf numFmtId="164" fontId="3" fillId="7" borderId="0" xfId="0" applyNumberFormat="1" applyFont="1" applyFill="1"/>
    <xf numFmtId="164" fontId="17" fillId="7" borderId="0" xfId="0" applyNumberFormat="1" applyFont="1" applyFill="1"/>
    <xf numFmtId="164" fontId="18" fillId="8" borderId="0" xfId="0" applyNumberFormat="1" applyFont="1" applyFill="1"/>
    <xf numFmtId="164" fontId="18" fillId="2" borderId="0" xfId="0" applyNumberFormat="1" applyFont="1" applyFill="1"/>
    <xf numFmtId="14" fontId="15" fillId="0" borderId="0" xfId="0" applyNumberFormat="1" applyFont="1" applyAlignment="1">
      <alignment horizontal="left"/>
    </xf>
    <xf numFmtId="14" fontId="9" fillId="0" borderId="0" xfId="0" applyNumberFormat="1" applyFont="1" applyAlignment="1">
      <alignment horizontal="left"/>
    </xf>
    <xf numFmtId="164" fontId="19" fillId="2" borderId="0" xfId="0" applyNumberFormat="1" applyFont="1" applyFill="1"/>
    <xf numFmtId="0" fontId="5" fillId="2" borderId="0" xfId="0" applyFont="1" applyFill="1" applyAlignment="1">
      <alignment horizontal="center" vertical="center"/>
    </xf>
    <xf numFmtId="0" fontId="12" fillId="0" borderId="0" xfId="0" applyFont="1"/>
    <xf numFmtId="0" fontId="1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10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164" fontId="11" fillId="2" borderId="0" xfId="0" applyNumberFormat="1" applyFont="1" applyFill="1"/>
    <xf numFmtId="0" fontId="21" fillId="2" borderId="0" xfId="0" applyFont="1" applyFill="1" applyAlignment="1">
      <alignment horizontal="center"/>
    </xf>
    <xf numFmtId="164" fontId="22" fillId="2" borderId="0" xfId="0" applyNumberFormat="1" applyFont="1" applyFill="1"/>
    <xf numFmtId="0" fontId="2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6195B-AFD2-40AE-9D55-1C653BFE08AE}">
  <dimension ref="A1:O89"/>
  <sheetViews>
    <sheetView topLeftCell="A76" workbookViewId="0">
      <selection activeCell="A86" sqref="A86:E86"/>
    </sheetView>
  </sheetViews>
  <sheetFormatPr defaultRowHeight="15" x14ac:dyDescent="0.25"/>
  <cols>
    <col min="1" max="1" width="21.42578125" customWidth="1"/>
    <col min="2" max="2" width="28.140625" customWidth="1"/>
    <col min="3" max="3" width="23.28515625" customWidth="1"/>
    <col min="4" max="4" width="19.140625" customWidth="1"/>
    <col min="5" max="5" width="28.7109375" customWidth="1"/>
    <col min="6" max="6" width="24.42578125" customWidth="1"/>
    <col min="7" max="7" width="21.7109375" customWidth="1"/>
  </cols>
  <sheetData>
    <row r="1" spans="1:15" x14ac:dyDescent="0.25">
      <c r="A1" t="s">
        <v>0</v>
      </c>
    </row>
    <row r="2" spans="1:15" ht="22.5" x14ac:dyDescent="0.3">
      <c r="A2" s="45" t="s">
        <v>10</v>
      </c>
      <c r="B2" s="45"/>
      <c r="C2" s="45"/>
      <c r="D2" s="45"/>
      <c r="E2" s="45"/>
      <c r="F2" s="45"/>
      <c r="G2" s="45"/>
      <c r="H2" s="45"/>
      <c r="I2" s="45"/>
      <c r="J2" s="45"/>
      <c r="K2" s="15"/>
      <c r="L2" s="15"/>
      <c r="M2" s="15"/>
      <c r="N2" s="15"/>
      <c r="O2" s="15"/>
    </row>
    <row r="3" spans="1:15" x14ac:dyDescent="0.25">
      <c r="B3" s="1" t="s">
        <v>1</v>
      </c>
      <c r="C3" s="1" t="s">
        <v>2</v>
      </c>
      <c r="D3" s="1" t="s">
        <v>7</v>
      </c>
      <c r="E3" s="1" t="s">
        <v>3</v>
      </c>
      <c r="F3" s="1" t="s">
        <v>4</v>
      </c>
    </row>
    <row r="4" spans="1:15" ht="18.75" x14ac:dyDescent="0.4">
      <c r="B4" t="s">
        <v>14</v>
      </c>
      <c r="C4" t="s">
        <v>5</v>
      </c>
      <c r="D4">
        <v>498</v>
      </c>
      <c r="E4">
        <v>611.42999999999995</v>
      </c>
      <c r="F4" s="4">
        <f>D4*E4</f>
        <v>304492.13999999996</v>
      </c>
    </row>
    <row r="10" spans="1:15" ht="18.75" x14ac:dyDescent="0.3">
      <c r="A10" s="50" t="s">
        <v>11</v>
      </c>
      <c r="B10" s="50"/>
      <c r="C10" s="50"/>
      <c r="D10" s="50"/>
      <c r="E10" s="50"/>
      <c r="F10" s="50"/>
      <c r="G10" s="50"/>
      <c r="H10" s="46"/>
      <c r="I10" s="46"/>
      <c r="J10" s="46"/>
      <c r="K10" s="15"/>
      <c r="L10" s="15"/>
      <c r="M10" s="15"/>
      <c r="N10" s="15"/>
      <c r="O10" s="15"/>
    </row>
    <row r="11" spans="1:15" ht="18.75" x14ac:dyDescent="0.3">
      <c r="A11" s="10" t="s">
        <v>1</v>
      </c>
      <c r="B11" s="10" t="s">
        <v>2</v>
      </c>
      <c r="C11" s="10" t="s">
        <v>12</v>
      </c>
      <c r="D11" s="10" t="s">
        <v>3</v>
      </c>
      <c r="E11" s="10" t="s">
        <v>29</v>
      </c>
      <c r="F11" s="10" t="s">
        <v>21</v>
      </c>
      <c r="G11" s="10"/>
    </row>
    <row r="12" spans="1:15" ht="18.75" x14ac:dyDescent="0.3">
      <c r="A12" s="9">
        <v>46298</v>
      </c>
      <c r="B12" s="10" t="s">
        <v>13</v>
      </c>
      <c r="C12" s="10">
        <v>198</v>
      </c>
      <c r="D12" s="10">
        <v>1545</v>
      </c>
      <c r="E12" s="16">
        <f>C12*D12</f>
        <v>305910</v>
      </c>
      <c r="F12" s="17">
        <f>E12</f>
        <v>305910</v>
      </c>
      <c r="G12" s="10"/>
    </row>
    <row r="14" spans="1:15" ht="20.25" x14ac:dyDescent="0.3">
      <c r="A14" s="12" t="s">
        <v>15</v>
      </c>
    </row>
    <row r="16" spans="1:15" ht="18.75" x14ac:dyDescent="0.4">
      <c r="A16" s="1" t="s">
        <v>16</v>
      </c>
      <c r="B16" s="3">
        <v>304492.14</v>
      </c>
      <c r="D16" t="s">
        <v>0</v>
      </c>
    </row>
    <row r="17" spans="1:13" ht="18.75" x14ac:dyDescent="0.4">
      <c r="A17" s="1" t="s">
        <v>17</v>
      </c>
      <c r="B17" s="3">
        <v>10000</v>
      </c>
    </row>
    <row r="18" spans="1:13" ht="18.75" x14ac:dyDescent="0.4">
      <c r="A18" t="s">
        <v>18</v>
      </c>
      <c r="B18" s="3">
        <f>SUM(B16:B17)</f>
        <v>314492.14</v>
      </c>
    </row>
    <row r="20" spans="1:13" ht="20.25" x14ac:dyDescent="0.3">
      <c r="A20" s="49" t="s">
        <v>19</v>
      </c>
      <c r="B20" s="49"/>
      <c r="C20" s="49"/>
      <c r="D20" s="49"/>
      <c r="E20" s="49"/>
    </row>
    <row r="21" spans="1:13" x14ac:dyDescent="0.25">
      <c r="A21" s="5" t="s">
        <v>21</v>
      </c>
      <c r="B21" s="5" t="s">
        <v>20</v>
      </c>
      <c r="C21" s="5" t="s">
        <v>23</v>
      </c>
      <c r="D21" s="5"/>
      <c r="E21" s="5" t="s">
        <v>22</v>
      </c>
    </row>
    <row r="22" spans="1:13" ht="18.75" x14ac:dyDescent="0.4">
      <c r="A22" s="3">
        <f>F12</f>
        <v>305910</v>
      </c>
      <c r="B22" s="3">
        <f>B18</f>
        <v>314492.14</v>
      </c>
      <c r="C22" s="4">
        <f>A22-B22</f>
        <v>-8582.140000000014</v>
      </c>
      <c r="D22" s="5"/>
      <c r="E22" s="5"/>
    </row>
    <row r="23" spans="1:13" x14ac:dyDescent="0.25">
      <c r="A23" s="6"/>
      <c r="B23" s="6"/>
      <c r="C23" s="6"/>
      <c r="D23" s="6"/>
      <c r="E23" s="6"/>
      <c r="F23" s="7"/>
      <c r="G23" s="7"/>
      <c r="H23" s="7"/>
      <c r="I23" s="7"/>
      <c r="J23" s="7"/>
      <c r="K23" s="7"/>
      <c r="L23" s="7"/>
      <c r="M23" s="8"/>
    </row>
    <row r="24" spans="1:13" ht="22.5" x14ac:dyDescent="0.3">
      <c r="B24" s="48" t="s">
        <v>10</v>
      </c>
      <c r="C24" s="48"/>
      <c r="D24" s="48"/>
      <c r="E24" s="48"/>
      <c r="F24" s="48"/>
      <c r="G24" s="48"/>
      <c r="H24" s="48"/>
      <c r="I24" s="48"/>
      <c r="J24" s="48"/>
    </row>
    <row r="25" spans="1:13" x14ac:dyDescent="0.25">
      <c r="B25" s="1" t="s">
        <v>1</v>
      </c>
      <c r="C25" s="1" t="s">
        <v>2</v>
      </c>
      <c r="D25" s="1" t="s">
        <v>7</v>
      </c>
      <c r="E25" s="1" t="s">
        <v>3</v>
      </c>
      <c r="F25" s="1" t="s">
        <v>4</v>
      </c>
    </row>
    <row r="26" spans="1:13" ht="20.25" x14ac:dyDescent="0.4">
      <c r="B26" s="14">
        <v>46268</v>
      </c>
      <c r="C26" s="10" t="s">
        <v>5</v>
      </c>
      <c r="D26" s="10">
        <v>549</v>
      </c>
      <c r="E26" s="10">
        <v>631</v>
      </c>
      <c r="F26" s="3">
        <v>344615.38</v>
      </c>
    </row>
    <row r="27" spans="1:13" ht="20.25" x14ac:dyDescent="0.4">
      <c r="B27" s="10"/>
      <c r="C27" s="10" t="s">
        <v>6</v>
      </c>
      <c r="D27" s="10">
        <v>100</v>
      </c>
      <c r="E27" s="10"/>
      <c r="F27" s="3">
        <v>76000</v>
      </c>
    </row>
    <row r="28" spans="1:13" ht="20.25" x14ac:dyDescent="0.4">
      <c r="B28" s="10"/>
      <c r="C28" s="10" t="s">
        <v>8</v>
      </c>
      <c r="D28" s="10">
        <v>75</v>
      </c>
      <c r="E28" s="10"/>
      <c r="F28" s="3">
        <v>40000</v>
      </c>
    </row>
    <row r="29" spans="1:13" ht="18.75" x14ac:dyDescent="0.4">
      <c r="C29" s="2" t="s">
        <v>9</v>
      </c>
      <c r="F29" s="3">
        <f>SUM(F26:F28)</f>
        <v>460615.38</v>
      </c>
    </row>
    <row r="31" spans="1:13" ht="22.5" x14ac:dyDescent="0.3">
      <c r="B31" s="42" t="s">
        <v>11</v>
      </c>
      <c r="C31" s="42"/>
      <c r="D31" s="42"/>
      <c r="E31" s="42"/>
      <c r="F31" s="42"/>
      <c r="G31" s="42"/>
    </row>
    <row r="32" spans="1:13" ht="18.75" x14ac:dyDescent="0.4">
      <c r="A32" s="3" t="s">
        <v>1</v>
      </c>
      <c r="B32" s="3" t="s">
        <v>2</v>
      </c>
      <c r="C32" s="3" t="s">
        <v>12</v>
      </c>
      <c r="D32" s="3" t="s">
        <v>3</v>
      </c>
      <c r="E32" s="3" t="s">
        <v>26</v>
      </c>
      <c r="F32" s="3" t="s">
        <v>27</v>
      </c>
      <c r="G32" s="3" t="s">
        <v>21</v>
      </c>
    </row>
    <row r="33" spans="1:13" ht="20.25" x14ac:dyDescent="0.4">
      <c r="A33" s="11" t="s">
        <v>24</v>
      </c>
      <c r="B33" s="11" t="s">
        <v>25</v>
      </c>
      <c r="C33" s="3">
        <v>280</v>
      </c>
      <c r="D33" s="3">
        <v>1500</v>
      </c>
      <c r="E33" s="3">
        <f>C33*D33</f>
        <v>420000</v>
      </c>
      <c r="F33" s="3">
        <v>50000</v>
      </c>
      <c r="G33" s="3">
        <f>E33+F33</f>
        <v>470000</v>
      </c>
    </row>
    <row r="34" spans="1:13" ht="18.75" x14ac:dyDescent="0.3">
      <c r="A34" s="11"/>
      <c r="B34" s="11"/>
      <c r="C34" s="11"/>
      <c r="D34" s="11"/>
      <c r="E34" s="11"/>
    </row>
    <row r="35" spans="1:13" ht="20.25" x14ac:dyDescent="0.3">
      <c r="A35" s="12" t="s">
        <v>15</v>
      </c>
    </row>
    <row r="37" spans="1:13" ht="18.75" x14ac:dyDescent="0.4">
      <c r="A37" s="1" t="s">
        <v>16</v>
      </c>
      <c r="B37" s="3">
        <v>460615.38</v>
      </c>
    </row>
    <row r="38" spans="1:13" ht="18.75" x14ac:dyDescent="0.4">
      <c r="A38" s="1" t="s">
        <v>17</v>
      </c>
      <c r="B38" s="3">
        <v>11000</v>
      </c>
    </row>
    <row r="39" spans="1:13" ht="20.25" x14ac:dyDescent="0.4">
      <c r="A39" s="10" t="s">
        <v>18</v>
      </c>
      <c r="B39" s="3">
        <f>SUM(B37:B38)</f>
        <v>471615.38</v>
      </c>
    </row>
    <row r="40" spans="1:13" ht="18.75" x14ac:dyDescent="0.3">
      <c r="A40" s="47" t="s">
        <v>19</v>
      </c>
      <c r="B40" s="47"/>
      <c r="C40" s="47"/>
      <c r="D40" s="47"/>
      <c r="E40" s="47"/>
    </row>
    <row r="41" spans="1:13" ht="18.75" x14ac:dyDescent="0.3">
      <c r="A41" s="13" t="s">
        <v>21</v>
      </c>
      <c r="B41" s="13" t="s">
        <v>20</v>
      </c>
      <c r="C41" s="13" t="s">
        <v>28</v>
      </c>
      <c r="D41" s="13"/>
      <c r="E41" s="13" t="s">
        <v>22</v>
      </c>
    </row>
    <row r="42" spans="1:13" ht="18.75" x14ac:dyDescent="0.4">
      <c r="A42" s="3">
        <f>G33</f>
        <v>470000</v>
      </c>
      <c r="B42" s="3">
        <f>F29</f>
        <v>460615.38</v>
      </c>
      <c r="C42" s="18">
        <f>A42-B42</f>
        <v>9384.6199999999953</v>
      </c>
      <c r="D42" s="5"/>
      <c r="E42" s="5"/>
    </row>
    <row r="44" spans="1:13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</row>
    <row r="45" spans="1:13" ht="22.5" x14ac:dyDescent="0.3">
      <c r="B45" s="48" t="s">
        <v>10</v>
      </c>
      <c r="C45" s="48"/>
      <c r="D45" s="48"/>
      <c r="E45" s="48"/>
      <c r="F45" s="48"/>
      <c r="G45" s="48"/>
      <c r="H45" s="48"/>
      <c r="I45" s="48"/>
      <c r="J45" s="48"/>
    </row>
    <row r="46" spans="1:13" x14ac:dyDescent="0.25">
      <c r="A46" s="1" t="s">
        <v>1</v>
      </c>
      <c r="B46" s="1" t="s">
        <v>2</v>
      </c>
      <c r="C46" s="1" t="s">
        <v>7</v>
      </c>
      <c r="D46" s="1" t="s">
        <v>3</v>
      </c>
      <c r="E46" s="1" t="s">
        <v>4</v>
      </c>
    </row>
    <row r="47" spans="1:13" ht="20.25" x14ac:dyDescent="0.4">
      <c r="A47" s="10" t="s">
        <v>30</v>
      </c>
      <c r="B47" s="10" t="s">
        <v>31</v>
      </c>
      <c r="C47" s="10" t="s">
        <v>34</v>
      </c>
      <c r="D47" s="10">
        <v>1200</v>
      </c>
      <c r="E47" s="18">
        <v>63600</v>
      </c>
    </row>
    <row r="48" spans="1:13" ht="20.25" x14ac:dyDescent="0.4">
      <c r="A48" s="10"/>
      <c r="B48" s="10" t="s">
        <v>32</v>
      </c>
      <c r="C48" s="10" t="s">
        <v>35</v>
      </c>
      <c r="D48" s="10">
        <v>1100</v>
      </c>
      <c r="E48" s="18">
        <v>47300</v>
      </c>
    </row>
    <row r="49" spans="1:7" ht="20.25" x14ac:dyDescent="0.4">
      <c r="A49" s="10"/>
      <c r="B49" s="10" t="s">
        <v>33</v>
      </c>
      <c r="C49" s="10" t="s">
        <v>36</v>
      </c>
      <c r="D49" s="10">
        <v>1200</v>
      </c>
      <c r="E49" s="18">
        <v>72000</v>
      </c>
    </row>
    <row r="50" spans="1:7" ht="20.25" x14ac:dyDescent="0.4">
      <c r="A50" s="10"/>
      <c r="B50" s="10" t="s">
        <v>37</v>
      </c>
      <c r="C50" s="9" t="s">
        <v>38</v>
      </c>
      <c r="D50" s="10"/>
      <c r="E50" s="18">
        <v>70875</v>
      </c>
    </row>
    <row r="51" spans="1:7" ht="20.25" x14ac:dyDescent="0.4">
      <c r="A51" s="10"/>
      <c r="B51" s="10" t="s">
        <v>37</v>
      </c>
      <c r="C51" s="9" t="s">
        <v>40</v>
      </c>
      <c r="D51" s="10"/>
      <c r="E51" s="18">
        <v>50152</v>
      </c>
    </row>
    <row r="52" spans="1:7" ht="20.25" x14ac:dyDescent="0.4">
      <c r="A52" s="10"/>
      <c r="B52" s="10" t="s">
        <v>39</v>
      </c>
      <c r="C52" s="10"/>
      <c r="D52" s="10"/>
      <c r="E52" s="20">
        <f>SUM(E47:E51)</f>
        <v>303927</v>
      </c>
    </row>
    <row r="55" spans="1:7" ht="20.25" x14ac:dyDescent="0.3">
      <c r="A55" s="12" t="s">
        <v>15</v>
      </c>
    </row>
    <row r="57" spans="1:7" ht="18.75" x14ac:dyDescent="0.4">
      <c r="A57" s="1" t="s">
        <v>16</v>
      </c>
      <c r="B57" s="3">
        <f>E52</f>
        <v>303927</v>
      </c>
    </row>
    <row r="58" spans="1:7" ht="18.75" x14ac:dyDescent="0.4">
      <c r="A58" s="1" t="s">
        <v>17</v>
      </c>
      <c r="B58" s="3">
        <v>6000</v>
      </c>
    </row>
    <row r="59" spans="1:7" ht="18.75" x14ac:dyDescent="0.4">
      <c r="A59" t="s">
        <v>39</v>
      </c>
      <c r="B59" s="3">
        <f>SUM(B57:B58)</f>
        <v>309927</v>
      </c>
    </row>
    <row r="61" spans="1:7" ht="22.5" x14ac:dyDescent="0.3">
      <c r="B61" s="42" t="s">
        <v>11</v>
      </c>
      <c r="C61" s="42"/>
      <c r="D61" s="42"/>
      <c r="E61" s="42"/>
      <c r="F61" s="42"/>
      <c r="G61" s="42"/>
    </row>
    <row r="62" spans="1:7" ht="18.75" x14ac:dyDescent="0.4">
      <c r="A62" s="3" t="s">
        <v>1</v>
      </c>
      <c r="B62" s="3" t="s">
        <v>2</v>
      </c>
      <c r="C62" s="3" t="s">
        <v>12</v>
      </c>
      <c r="D62" s="3" t="s">
        <v>3</v>
      </c>
      <c r="E62" s="3" t="s">
        <v>26</v>
      </c>
      <c r="F62" s="3" t="s">
        <v>27</v>
      </c>
      <c r="G62" s="3" t="s">
        <v>21</v>
      </c>
    </row>
    <row r="63" spans="1:7" ht="20.25" x14ac:dyDescent="0.4">
      <c r="A63" s="11" t="s">
        <v>24</v>
      </c>
      <c r="B63" s="11" t="s">
        <v>25</v>
      </c>
      <c r="C63" s="2">
        <v>198</v>
      </c>
      <c r="D63" s="3">
        <v>1454</v>
      </c>
      <c r="E63" s="3">
        <f>C63*D63</f>
        <v>287892</v>
      </c>
      <c r="F63" s="3"/>
      <c r="G63" s="3">
        <f>E63+F63</f>
        <v>287892</v>
      </c>
    </row>
    <row r="64" spans="1:7" ht="18.75" x14ac:dyDescent="0.4">
      <c r="C64" s="2">
        <v>33</v>
      </c>
      <c r="D64" s="3">
        <v>1454</v>
      </c>
      <c r="E64" s="3">
        <f>C64*D64</f>
        <v>47982</v>
      </c>
      <c r="G64" s="3">
        <f>E64+F64</f>
        <v>47982</v>
      </c>
    </row>
    <row r="65" spans="1:13" ht="18.75" x14ac:dyDescent="0.4">
      <c r="G65" s="19">
        <f>SUM(G63:G64)</f>
        <v>335874</v>
      </c>
    </row>
    <row r="66" spans="1:13" ht="18.75" x14ac:dyDescent="0.3">
      <c r="A66" s="47" t="s">
        <v>19</v>
      </c>
      <c r="B66" s="47"/>
      <c r="C66" s="47"/>
      <c r="D66" s="47"/>
      <c r="E66" s="47"/>
    </row>
    <row r="67" spans="1:13" ht="20.25" x14ac:dyDescent="0.4">
      <c r="A67" s="3" t="s">
        <v>41</v>
      </c>
      <c r="B67" s="3" t="s">
        <v>45</v>
      </c>
      <c r="C67" s="3">
        <f>G65</f>
        <v>335874</v>
      </c>
      <c r="D67" s="13"/>
      <c r="E67" s="13" t="s">
        <v>22</v>
      </c>
    </row>
    <row r="68" spans="1:13" ht="18.75" x14ac:dyDescent="0.4">
      <c r="A68" s="3" t="s">
        <v>42</v>
      </c>
      <c r="B68" s="3" t="s">
        <v>43</v>
      </c>
      <c r="C68" s="18">
        <f>B59</f>
        <v>309927</v>
      </c>
      <c r="D68" s="5"/>
      <c r="E68" s="5"/>
    </row>
    <row r="69" spans="1:13" ht="18.75" x14ac:dyDescent="0.4">
      <c r="B69" s="3" t="s">
        <v>44</v>
      </c>
      <c r="C69" s="19">
        <f>C67-C68</f>
        <v>25947</v>
      </c>
    </row>
    <row r="71" spans="1:13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</row>
    <row r="72" spans="1:13" ht="18.75" x14ac:dyDescent="0.25">
      <c r="A72" s="51" t="s">
        <v>10</v>
      </c>
      <c r="B72" s="51"/>
      <c r="C72" s="51"/>
      <c r="D72" s="51"/>
      <c r="E72" s="51"/>
      <c r="F72" s="51"/>
      <c r="G72" s="51"/>
      <c r="H72" s="51"/>
      <c r="I72" s="51"/>
      <c r="J72" s="51"/>
    </row>
    <row r="73" spans="1:13" ht="18.75" x14ac:dyDescent="0.3">
      <c r="A73" s="22" t="s">
        <v>1</v>
      </c>
      <c r="B73" s="22" t="s">
        <v>2</v>
      </c>
      <c r="C73" s="22" t="s">
        <v>7</v>
      </c>
      <c r="D73" s="22" t="s">
        <v>3</v>
      </c>
      <c r="E73" s="22" t="s">
        <v>4</v>
      </c>
      <c r="F73" s="21"/>
      <c r="G73" s="21"/>
      <c r="H73" s="21"/>
      <c r="I73" s="21"/>
      <c r="J73" s="21"/>
    </row>
    <row r="74" spans="1:13" ht="18.75" x14ac:dyDescent="0.3">
      <c r="A74" s="21" t="s">
        <v>42</v>
      </c>
      <c r="B74" s="16" t="s">
        <v>46</v>
      </c>
      <c r="C74" s="16" t="s">
        <v>47</v>
      </c>
      <c r="D74" s="21"/>
      <c r="E74" s="16">
        <v>106562</v>
      </c>
      <c r="F74" s="21"/>
      <c r="G74" s="21"/>
      <c r="H74" s="21"/>
      <c r="I74" s="21"/>
      <c r="J74" s="21"/>
    </row>
    <row r="75" spans="1:13" ht="18.75" x14ac:dyDescent="0.3">
      <c r="A75" s="21" t="s">
        <v>48</v>
      </c>
      <c r="B75" s="16" t="s">
        <v>49</v>
      </c>
      <c r="C75" s="16" t="s">
        <v>50</v>
      </c>
      <c r="D75" s="16">
        <v>1200</v>
      </c>
      <c r="E75" s="16">
        <v>28800</v>
      </c>
      <c r="F75" s="21"/>
      <c r="G75" s="21"/>
      <c r="H75" s="21"/>
      <c r="I75" s="21"/>
      <c r="J75" s="21"/>
    </row>
    <row r="76" spans="1:13" ht="18.75" x14ac:dyDescent="0.3">
      <c r="A76" s="21" t="s">
        <v>48</v>
      </c>
      <c r="B76" s="16" t="s">
        <v>51</v>
      </c>
      <c r="C76" s="16" t="s">
        <v>52</v>
      </c>
      <c r="D76" s="16">
        <v>12000</v>
      </c>
      <c r="E76" s="16">
        <v>5000</v>
      </c>
      <c r="F76" s="21"/>
      <c r="G76" s="21"/>
      <c r="H76" s="21"/>
      <c r="I76" s="21"/>
      <c r="J76" s="21"/>
    </row>
    <row r="77" spans="1:13" ht="18.75" x14ac:dyDescent="0.3">
      <c r="A77" s="21"/>
      <c r="B77" s="21" t="s">
        <v>33</v>
      </c>
      <c r="C77" s="21" t="s">
        <v>53</v>
      </c>
      <c r="D77" s="21">
        <v>1200</v>
      </c>
      <c r="E77" s="23">
        <f>D77*78</f>
        <v>93600</v>
      </c>
      <c r="F77" s="21"/>
      <c r="G77" s="21"/>
      <c r="H77" s="21"/>
      <c r="I77" s="21"/>
      <c r="J77" s="21"/>
    </row>
    <row r="78" spans="1:13" ht="18.75" x14ac:dyDescent="0.3">
      <c r="A78" s="21" t="s">
        <v>39</v>
      </c>
      <c r="E78" s="24">
        <f>SUM(E74:E77)</f>
        <v>233962</v>
      </c>
    </row>
    <row r="79" spans="1:13" x14ac:dyDescent="0.25">
      <c r="G79" s="25"/>
    </row>
    <row r="80" spans="1:13" ht="22.5" x14ac:dyDescent="0.3">
      <c r="B80" s="42" t="s">
        <v>11</v>
      </c>
      <c r="C80" s="42"/>
      <c r="D80" s="42"/>
      <c r="E80" s="42"/>
      <c r="F80" s="42"/>
      <c r="G80" s="42"/>
    </row>
    <row r="81" spans="1:7" ht="18.75" x14ac:dyDescent="0.4">
      <c r="A81" s="3" t="s">
        <v>1</v>
      </c>
      <c r="B81" s="3" t="s">
        <v>2</v>
      </c>
      <c r="C81" s="3" t="s">
        <v>12</v>
      </c>
      <c r="D81" s="3" t="s">
        <v>3</v>
      </c>
      <c r="E81" s="3" t="s">
        <v>26</v>
      </c>
      <c r="F81" s="3" t="s">
        <v>27</v>
      </c>
      <c r="G81" s="3" t="s">
        <v>21</v>
      </c>
    </row>
    <row r="82" spans="1:7" ht="20.25" x14ac:dyDescent="0.4">
      <c r="A82" s="11" t="s">
        <v>24</v>
      </c>
      <c r="B82" s="11" t="s">
        <v>25</v>
      </c>
      <c r="C82" s="2">
        <v>154</v>
      </c>
      <c r="D82" s="3">
        <v>1500</v>
      </c>
      <c r="E82" s="3">
        <f>C82*D82</f>
        <v>231000</v>
      </c>
      <c r="F82" s="3"/>
      <c r="G82" s="3"/>
    </row>
    <row r="83" spans="1:7" ht="18.75" x14ac:dyDescent="0.4">
      <c r="C83" s="2">
        <v>12.666</v>
      </c>
      <c r="D83" s="3">
        <v>1500</v>
      </c>
      <c r="E83" s="3">
        <v>19000</v>
      </c>
      <c r="G83" s="3"/>
    </row>
    <row r="84" spans="1:7" ht="18.75" x14ac:dyDescent="0.4">
      <c r="A84" s="3" t="s">
        <v>39</v>
      </c>
      <c r="E84" s="3">
        <f>SUM(E82:E83)</f>
        <v>250000</v>
      </c>
    </row>
    <row r="85" spans="1:7" ht="18.75" x14ac:dyDescent="0.4">
      <c r="E85" s="3"/>
    </row>
    <row r="86" spans="1:7" ht="18.75" x14ac:dyDescent="0.3">
      <c r="A86" s="47" t="s">
        <v>19</v>
      </c>
      <c r="B86" s="47"/>
      <c r="C86" s="47"/>
      <c r="D86" s="47"/>
      <c r="E86" s="47"/>
    </row>
    <row r="87" spans="1:7" ht="20.25" x14ac:dyDescent="0.4">
      <c r="A87" s="3" t="s">
        <v>41</v>
      </c>
      <c r="B87" s="3" t="s">
        <v>45</v>
      </c>
      <c r="C87" s="3">
        <f>E84</f>
        <v>250000</v>
      </c>
      <c r="D87" s="13"/>
      <c r="E87" s="13" t="s">
        <v>22</v>
      </c>
    </row>
    <row r="88" spans="1:7" ht="18.75" x14ac:dyDescent="0.4">
      <c r="A88" s="26">
        <v>46207</v>
      </c>
      <c r="B88" s="3" t="s">
        <v>43</v>
      </c>
      <c r="C88" s="18">
        <f>E78</f>
        <v>233962</v>
      </c>
      <c r="D88" s="5"/>
      <c r="E88" s="5"/>
    </row>
    <row r="89" spans="1:7" ht="18.75" x14ac:dyDescent="0.4">
      <c r="B89" s="3" t="s">
        <v>44</v>
      </c>
      <c r="C89" s="19">
        <f>C87-C88</f>
        <v>16038</v>
      </c>
    </row>
  </sheetData>
  <mergeCells count="13">
    <mergeCell ref="B80:G80"/>
    <mergeCell ref="A86:E86"/>
    <mergeCell ref="A72:J72"/>
    <mergeCell ref="B45:J45"/>
    <mergeCell ref="B61:G61"/>
    <mergeCell ref="A66:E66"/>
    <mergeCell ref="A2:J2"/>
    <mergeCell ref="H10:J10"/>
    <mergeCell ref="A40:E40"/>
    <mergeCell ref="B24:J24"/>
    <mergeCell ref="A20:E20"/>
    <mergeCell ref="B31:G31"/>
    <mergeCell ref="A10:G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02341-566E-4CC1-B440-29467B363734}">
  <dimension ref="A1:J50"/>
  <sheetViews>
    <sheetView tabSelected="1" zoomScaleNormal="100" workbookViewId="0">
      <selection activeCell="E48" sqref="E48"/>
    </sheetView>
  </sheetViews>
  <sheetFormatPr defaultRowHeight="15" x14ac:dyDescent="0.25"/>
  <cols>
    <col min="1" max="1" width="18.28515625" customWidth="1"/>
    <col min="2" max="2" width="34.42578125" customWidth="1"/>
    <col min="3" max="3" width="23.42578125" customWidth="1"/>
    <col min="4" max="4" width="23.5703125" customWidth="1"/>
    <col min="5" max="5" width="25.85546875" customWidth="1"/>
    <col min="6" max="6" width="18.5703125" customWidth="1"/>
    <col min="7" max="7" width="18.28515625" customWidth="1"/>
  </cols>
  <sheetData>
    <row r="1" spans="1:10" ht="20.25" x14ac:dyDescent="0.25">
      <c r="A1" s="41" t="s">
        <v>10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ht="18.75" x14ac:dyDescent="0.3">
      <c r="A2" s="22" t="s">
        <v>1</v>
      </c>
      <c r="B2" s="22" t="s">
        <v>2</v>
      </c>
      <c r="C2" s="22" t="s">
        <v>7</v>
      </c>
      <c r="D2" s="22" t="s">
        <v>3</v>
      </c>
      <c r="E2" s="22" t="s">
        <v>4</v>
      </c>
      <c r="F2" s="21"/>
      <c r="G2" s="21"/>
      <c r="H2" s="21"/>
      <c r="I2" s="21"/>
      <c r="J2" s="21"/>
    </row>
    <row r="3" spans="1:10" ht="20.25" x14ac:dyDescent="0.3">
      <c r="A3" s="29">
        <v>46116</v>
      </c>
      <c r="B3" s="27" t="s">
        <v>33</v>
      </c>
      <c r="C3" s="27" t="s">
        <v>54</v>
      </c>
      <c r="D3" s="30">
        <v>1200</v>
      </c>
      <c r="E3" s="27">
        <f>50*D3</f>
        <v>60000</v>
      </c>
      <c r="F3" s="21"/>
      <c r="G3" s="21"/>
      <c r="H3" s="21"/>
      <c r="I3" s="21"/>
      <c r="J3" s="21"/>
    </row>
    <row r="4" spans="1:10" ht="20.25" x14ac:dyDescent="0.3">
      <c r="A4" s="29">
        <v>46117</v>
      </c>
      <c r="B4" s="27" t="s">
        <v>33</v>
      </c>
      <c r="C4" s="27" t="s">
        <v>55</v>
      </c>
      <c r="D4" s="27">
        <v>1200</v>
      </c>
      <c r="E4" s="27">
        <f>20*D4</f>
        <v>24000</v>
      </c>
      <c r="F4" s="21"/>
      <c r="G4" s="21"/>
      <c r="H4" s="21"/>
      <c r="I4" s="21"/>
      <c r="J4" s="21"/>
    </row>
    <row r="5" spans="1:10" ht="20.25" x14ac:dyDescent="0.3">
      <c r="A5" s="29">
        <v>46118</v>
      </c>
      <c r="B5" s="27" t="s">
        <v>6</v>
      </c>
      <c r="C5" s="31" t="s">
        <v>56</v>
      </c>
      <c r="D5" s="27"/>
      <c r="E5" s="27">
        <v>79160</v>
      </c>
      <c r="F5" s="21"/>
      <c r="G5" s="21"/>
      <c r="H5" s="21"/>
      <c r="I5" s="21"/>
      <c r="J5" s="21"/>
    </row>
    <row r="6" spans="1:10" ht="20.25" x14ac:dyDescent="0.3">
      <c r="A6" s="29">
        <v>46119</v>
      </c>
      <c r="B6" s="27" t="s">
        <v>6</v>
      </c>
      <c r="C6" s="27" t="s">
        <v>57</v>
      </c>
      <c r="D6" s="30"/>
      <c r="E6" s="28">
        <v>31000</v>
      </c>
      <c r="F6" s="21"/>
      <c r="G6" s="21"/>
      <c r="H6" s="21"/>
      <c r="I6" s="21"/>
      <c r="J6" s="21"/>
    </row>
    <row r="7" spans="1:10" ht="21" x14ac:dyDescent="0.35">
      <c r="A7" s="29" t="s">
        <v>59</v>
      </c>
      <c r="B7" s="27" t="s">
        <v>58</v>
      </c>
      <c r="C7" s="27" t="s">
        <v>60</v>
      </c>
      <c r="D7" s="32"/>
      <c r="E7" s="28">
        <v>246153</v>
      </c>
    </row>
    <row r="8" spans="1:10" ht="21" x14ac:dyDescent="0.35">
      <c r="A8" s="33">
        <v>46238</v>
      </c>
      <c r="B8" s="27" t="s">
        <v>61</v>
      </c>
      <c r="C8" s="27" t="s">
        <v>62</v>
      </c>
      <c r="D8" s="32"/>
      <c r="E8" s="28">
        <v>150634</v>
      </c>
    </row>
    <row r="9" spans="1:10" ht="21" x14ac:dyDescent="0.35">
      <c r="A9" s="32"/>
      <c r="B9" s="27" t="s">
        <v>9</v>
      </c>
      <c r="C9" s="32"/>
      <c r="D9" s="32"/>
      <c r="E9" s="35">
        <f>SUM(E3:E8)</f>
        <v>590947</v>
      </c>
    </row>
    <row r="10" spans="1:10" ht="20.25" x14ac:dyDescent="0.3">
      <c r="E10" s="28"/>
    </row>
    <row r="11" spans="1:10" ht="22.5" x14ac:dyDescent="0.3">
      <c r="B11" s="42" t="s">
        <v>11</v>
      </c>
      <c r="C11" s="42"/>
      <c r="D11" s="42"/>
      <c r="E11" s="42"/>
      <c r="F11" s="42"/>
      <c r="G11" s="42"/>
    </row>
    <row r="12" spans="1:10" ht="18.75" x14ac:dyDescent="0.4">
      <c r="A12" s="3" t="s">
        <v>1</v>
      </c>
      <c r="B12" s="3" t="s">
        <v>2</v>
      </c>
      <c r="C12" s="3" t="s">
        <v>12</v>
      </c>
      <c r="D12" s="3" t="s">
        <v>3</v>
      </c>
      <c r="E12" s="3" t="s">
        <v>26</v>
      </c>
      <c r="F12" s="3" t="s">
        <v>27</v>
      </c>
      <c r="G12" s="3" t="s">
        <v>21</v>
      </c>
    </row>
    <row r="13" spans="1:10" ht="20.25" x14ac:dyDescent="0.4">
      <c r="A13" s="11" t="s">
        <v>24</v>
      </c>
      <c r="B13" s="11" t="s">
        <v>25</v>
      </c>
      <c r="C13" s="2">
        <v>452</v>
      </c>
      <c r="D13" s="3">
        <v>1500</v>
      </c>
      <c r="E13" s="3">
        <f>C13*D13</f>
        <v>678000</v>
      </c>
      <c r="F13" s="3"/>
      <c r="G13" s="3"/>
    </row>
    <row r="14" spans="1:10" ht="18.75" x14ac:dyDescent="0.4">
      <c r="C14" s="2"/>
      <c r="D14" s="3"/>
      <c r="E14" s="3"/>
      <c r="G14" s="3"/>
    </row>
    <row r="15" spans="1:10" ht="18.75" x14ac:dyDescent="0.4">
      <c r="A15" s="3" t="s">
        <v>39</v>
      </c>
      <c r="E15" s="34">
        <f>E13</f>
        <v>678000</v>
      </c>
    </row>
    <row r="17" spans="1:10" ht="20.25" x14ac:dyDescent="0.3">
      <c r="A17" s="43" t="s">
        <v>15</v>
      </c>
      <c r="B17" s="43"/>
      <c r="C17" s="43"/>
      <c r="D17" s="43"/>
      <c r="E17" s="43"/>
    </row>
    <row r="18" spans="1:10" ht="20.25" x14ac:dyDescent="0.4">
      <c r="A18" s="3" t="s">
        <v>41</v>
      </c>
      <c r="B18" s="3" t="s">
        <v>66</v>
      </c>
      <c r="C18" s="3">
        <f>E9</f>
        <v>590947</v>
      </c>
      <c r="D18" s="13"/>
      <c r="E18" s="13" t="s">
        <v>22</v>
      </c>
    </row>
    <row r="19" spans="1:10" ht="18.75" x14ac:dyDescent="0.4">
      <c r="A19" s="26" t="s">
        <v>63</v>
      </c>
      <c r="B19" s="3" t="s">
        <v>64</v>
      </c>
      <c r="C19" s="18">
        <v>15000</v>
      </c>
      <c r="D19" s="5"/>
      <c r="E19" s="5"/>
    </row>
    <row r="20" spans="1:10" ht="18.75" x14ac:dyDescent="0.4">
      <c r="B20" s="3" t="s">
        <v>65</v>
      </c>
      <c r="C20" s="34">
        <f>SUM(C18:C19)</f>
        <v>605947</v>
      </c>
    </row>
    <row r="22" spans="1:10" ht="20.25" x14ac:dyDescent="0.3">
      <c r="A22" s="44" t="s">
        <v>67</v>
      </c>
      <c r="B22" s="44"/>
      <c r="C22" s="44"/>
      <c r="D22" s="44"/>
      <c r="E22" s="44"/>
    </row>
    <row r="23" spans="1:10" ht="18.75" x14ac:dyDescent="0.4">
      <c r="A23" s="3" t="s">
        <v>41</v>
      </c>
      <c r="B23" s="3" t="s">
        <v>45</v>
      </c>
      <c r="C23" s="3">
        <f>E15</f>
        <v>678000</v>
      </c>
    </row>
    <row r="24" spans="1:10" ht="18.75" x14ac:dyDescent="0.4">
      <c r="A24" s="26" t="s">
        <v>63</v>
      </c>
      <c r="B24" s="3" t="s">
        <v>43</v>
      </c>
      <c r="C24" s="18">
        <f>C20</f>
        <v>605947</v>
      </c>
    </row>
    <row r="25" spans="1:10" ht="18.75" x14ac:dyDescent="0.4">
      <c r="B25" s="3" t="s">
        <v>44</v>
      </c>
      <c r="C25" s="37">
        <f>C23-C24</f>
        <v>72053</v>
      </c>
    </row>
    <row r="27" spans="1:10" ht="20.25" x14ac:dyDescent="0.25">
      <c r="A27" s="41" t="s">
        <v>10</v>
      </c>
      <c r="B27" s="41"/>
      <c r="C27" s="41"/>
      <c r="D27" s="41"/>
      <c r="E27" s="41"/>
      <c r="F27" s="41"/>
      <c r="G27" s="41"/>
      <c r="H27" s="41"/>
      <c r="I27" s="41"/>
      <c r="J27" s="41"/>
    </row>
    <row r="28" spans="1:10" ht="18.75" x14ac:dyDescent="0.3">
      <c r="A28" s="22" t="s">
        <v>1</v>
      </c>
      <c r="B28" s="22" t="s">
        <v>2</v>
      </c>
      <c r="C28" s="22" t="s">
        <v>7</v>
      </c>
      <c r="D28" s="22" t="s">
        <v>3</v>
      </c>
      <c r="E28" s="22" t="s">
        <v>4</v>
      </c>
      <c r="F28" s="21"/>
      <c r="G28" s="21"/>
      <c r="H28" s="21"/>
      <c r="I28" s="21"/>
      <c r="J28" s="21"/>
    </row>
    <row r="29" spans="1:10" ht="20.25" x14ac:dyDescent="0.3">
      <c r="A29" s="29" t="s">
        <v>68</v>
      </c>
      <c r="B29" s="27" t="s">
        <v>6</v>
      </c>
      <c r="C29" s="31" t="s">
        <v>69</v>
      </c>
      <c r="D29" s="30"/>
      <c r="E29" s="27">
        <v>117357</v>
      </c>
      <c r="F29" s="21"/>
      <c r="G29" s="21"/>
      <c r="H29" s="21"/>
      <c r="I29" s="21"/>
      <c r="J29" s="21"/>
    </row>
    <row r="30" spans="1:10" ht="20.25" x14ac:dyDescent="0.3">
      <c r="A30" s="29">
        <v>46146</v>
      </c>
      <c r="B30" s="27" t="s">
        <v>70</v>
      </c>
      <c r="C30" s="27" t="s">
        <v>55</v>
      </c>
      <c r="D30" s="27">
        <v>1200</v>
      </c>
      <c r="E30" s="27">
        <f>20*D30</f>
        <v>24000</v>
      </c>
      <c r="F30" s="21"/>
      <c r="G30" s="21"/>
      <c r="H30" s="21"/>
      <c r="I30" s="21"/>
      <c r="J30" s="21"/>
    </row>
    <row r="31" spans="1:10" ht="20.25" x14ac:dyDescent="0.3">
      <c r="A31" s="29">
        <v>46360</v>
      </c>
      <c r="B31" s="27" t="s">
        <v>6</v>
      </c>
      <c r="C31" s="31" t="s">
        <v>71</v>
      </c>
      <c r="D31" s="27"/>
      <c r="E31" s="27">
        <v>137285</v>
      </c>
      <c r="F31" s="21"/>
      <c r="G31" s="21"/>
      <c r="H31" s="21"/>
      <c r="I31" s="21"/>
      <c r="J31" s="21"/>
    </row>
    <row r="32" spans="1:10" ht="20.25" x14ac:dyDescent="0.3">
      <c r="A32" s="29" t="s">
        <v>74</v>
      </c>
      <c r="B32" s="27" t="s">
        <v>75</v>
      </c>
      <c r="C32" s="31" t="s">
        <v>76</v>
      </c>
      <c r="D32" s="27"/>
      <c r="E32" s="27">
        <v>100750</v>
      </c>
      <c r="F32" s="21"/>
      <c r="G32" s="21"/>
      <c r="H32" s="21"/>
      <c r="I32" s="21"/>
      <c r="J32" s="21"/>
    </row>
    <row r="33" spans="1:10" ht="20.25" x14ac:dyDescent="0.3">
      <c r="A33" s="29">
        <v>46360</v>
      </c>
      <c r="B33" s="27" t="s">
        <v>72</v>
      </c>
      <c r="C33" s="27" t="s">
        <v>73</v>
      </c>
      <c r="D33" s="30">
        <v>1200</v>
      </c>
      <c r="E33" s="28">
        <f>41*D33</f>
        <v>49200</v>
      </c>
      <c r="F33" s="21"/>
      <c r="G33" s="21"/>
      <c r="H33" s="21"/>
      <c r="I33" s="21"/>
      <c r="J33" s="21"/>
    </row>
    <row r="34" spans="1:10" ht="20.25" x14ac:dyDescent="0.3">
      <c r="A34" s="29" t="s">
        <v>77</v>
      </c>
      <c r="B34" s="27" t="s">
        <v>78</v>
      </c>
      <c r="C34" s="27" t="s">
        <v>79</v>
      </c>
      <c r="D34" s="30"/>
      <c r="E34" s="28">
        <v>42000</v>
      </c>
      <c r="F34" s="21"/>
      <c r="G34" s="21"/>
      <c r="H34" s="21"/>
      <c r="I34" s="21"/>
      <c r="J34" s="21"/>
    </row>
    <row r="35" spans="1:10" ht="21" x14ac:dyDescent="0.35">
      <c r="A35" s="32"/>
      <c r="B35" s="27" t="s">
        <v>9</v>
      </c>
      <c r="C35" s="32"/>
      <c r="D35" s="32"/>
      <c r="E35" s="35">
        <f>SUM(E29:E34)</f>
        <v>470592</v>
      </c>
    </row>
    <row r="37" spans="1:10" ht="22.5" x14ac:dyDescent="0.3">
      <c r="B37" s="42" t="s">
        <v>11</v>
      </c>
      <c r="C37" s="42"/>
      <c r="D37" s="42"/>
      <c r="E37" s="42"/>
      <c r="F37" s="42"/>
      <c r="G37" s="42"/>
    </row>
    <row r="38" spans="1:10" ht="18.75" x14ac:dyDescent="0.4">
      <c r="A38" s="3" t="s">
        <v>1</v>
      </c>
      <c r="B38" s="3" t="s">
        <v>2</v>
      </c>
      <c r="C38" s="3" t="s">
        <v>12</v>
      </c>
      <c r="D38" s="3" t="s">
        <v>3</v>
      </c>
      <c r="E38" s="3" t="s">
        <v>26</v>
      </c>
      <c r="F38" s="3" t="s">
        <v>27</v>
      </c>
      <c r="G38" s="3" t="s">
        <v>21</v>
      </c>
    </row>
    <row r="39" spans="1:10" ht="20.25" x14ac:dyDescent="0.4">
      <c r="A39" s="11" t="s">
        <v>24</v>
      </c>
      <c r="B39" s="11" t="s">
        <v>25</v>
      </c>
      <c r="C39" s="2">
        <v>330</v>
      </c>
      <c r="D39" s="3">
        <v>1500</v>
      </c>
      <c r="E39" s="3">
        <f>C39*D39</f>
        <v>495000</v>
      </c>
      <c r="F39" s="3"/>
      <c r="G39" s="3"/>
    </row>
    <row r="40" spans="1:10" ht="18.75" x14ac:dyDescent="0.4">
      <c r="C40" s="2"/>
      <c r="D40" s="3"/>
      <c r="E40" s="3"/>
      <c r="G40" s="3"/>
    </row>
    <row r="41" spans="1:10" ht="18.75" x14ac:dyDescent="0.4">
      <c r="A41" s="3" t="s">
        <v>39</v>
      </c>
      <c r="E41" s="3">
        <f>SUM(E39:E40)</f>
        <v>495000</v>
      </c>
    </row>
    <row r="43" spans="1:10" ht="20.25" x14ac:dyDescent="0.3">
      <c r="A43" s="43" t="s">
        <v>15</v>
      </c>
      <c r="B43" s="43"/>
      <c r="C43" s="43"/>
      <c r="D43" s="43"/>
      <c r="E43" s="43"/>
    </row>
    <row r="44" spans="1:10" ht="20.25" x14ac:dyDescent="0.4">
      <c r="A44" s="3" t="s">
        <v>41</v>
      </c>
      <c r="B44" s="3" t="s">
        <v>66</v>
      </c>
      <c r="C44" s="3">
        <f>E35</f>
        <v>470592</v>
      </c>
      <c r="D44" s="13"/>
      <c r="E44" s="13" t="s">
        <v>22</v>
      </c>
    </row>
    <row r="45" spans="1:10" ht="18.75" x14ac:dyDescent="0.4">
      <c r="A45" s="26">
        <v>46117</v>
      </c>
      <c r="B45" s="3" t="s">
        <v>64</v>
      </c>
      <c r="C45" s="18">
        <v>10000</v>
      </c>
      <c r="D45" s="5"/>
      <c r="E45" s="5"/>
    </row>
    <row r="46" spans="1:10" ht="18.75" x14ac:dyDescent="0.4">
      <c r="B46" s="3" t="s">
        <v>65</v>
      </c>
      <c r="C46" s="36">
        <f>SUM(C44:C45)</f>
        <v>480592</v>
      </c>
    </row>
    <row r="47" spans="1:10" ht="20.25" x14ac:dyDescent="0.3">
      <c r="A47" s="44" t="s">
        <v>67</v>
      </c>
      <c r="B47" s="44"/>
      <c r="C47" s="44"/>
      <c r="D47" s="44"/>
      <c r="E47" s="44"/>
    </row>
    <row r="48" spans="1:10" ht="18.75" x14ac:dyDescent="0.4">
      <c r="A48" s="3" t="s">
        <v>41</v>
      </c>
      <c r="B48" s="3" t="s">
        <v>45</v>
      </c>
      <c r="C48" s="3">
        <f>E41</f>
        <v>495000</v>
      </c>
    </row>
    <row r="49" spans="1:3" ht="18.75" x14ac:dyDescent="0.4">
      <c r="A49" s="26" t="s">
        <v>63</v>
      </c>
      <c r="B49" s="3" t="s">
        <v>43</v>
      </c>
      <c r="C49" s="18">
        <f>C46</f>
        <v>480592</v>
      </c>
    </row>
    <row r="50" spans="1:3" ht="18.75" x14ac:dyDescent="0.4">
      <c r="B50" s="3" t="s">
        <v>44</v>
      </c>
      <c r="C50" s="52">
        <f>C48-C49</f>
        <v>14408</v>
      </c>
    </row>
  </sheetData>
  <mergeCells count="8">
    <mergeCell ref="B37:G37"/>
    <mergeCell ref="A43:E43"/>
    <mergeCell ref="A47:E47"/>
    <mergeCell ref="A1:J1"/>
    <mergeCell ref="B11:G11"/>
    <mergeCell ref="A17:E17"/>
    <mergeCell ref="A22:E22"/>
    <mergeCell ref="A27:J27"/>
  </mergeCells>
  <printOptions horizontalCentered="1" verticalCentered="1"/>
  <pageMargins left="0.7" right="0.7" top="0.75" bottom="0.75" header="0.3" footer="0.3"/>
  <pageSetup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27EE7-0277-493F-9F0B-1CFB517121FC}">
  <dimension ref="A1:L58"/>
  <sheetViews>
    <sheetView topLeftCell="A25" workbookViewId="0">
      <selection activeCell="C48" sqref="C48"/>
    </sheetView>
  </sheetViews>
  <sheetFormatPr defaultRowHeight="15" x14ac:dyDescent="0.25"/>
  <cols>
    <col min="1" max="1" width="31.85546875" customWidth="1"/>
    <col min="2" max="4" width="25.5703125" customWidth="1"/>
    <col min="5" max="5" width="23.5703125" customWidth="1"/>
    <col min="6" max="6" width="24.140625" customWidth="1"/>
    <col min="7" max="7" width="25.85546875" customWidth="1"/>
  </cols>
  <sheetData>
    <row r="1" spans="1:12" ht="20.25" x14ac:dyDescent="0.25">
      <c r="A1" s="41" t="s">
        <v>10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ht="18.75" x14ac:dyDescent="0.3">
      <c r="A2" s="22" t="s">
        <v>1</v>
      </c>
      <c r="B2" s="22" t="s">
        <v>2</v>
      </c>
      <c r="C2" s="22"/>
      <c r="D2" s="22"/>
      <c r="E2" s="22" t="s">
        <v>7</v>
      </c>
      <c r="F2" s="22" t="s">
        <v>3</v>
      </c>
      <c r="G2" s="22" t="s">
        <v>4</v>
      </c>
      <c r="H2" s="21"/>
      <c r="I2" s="21"/>
      <c r="J2" s="21"/>
      <c r="K2" s="21"/>
      <c r="L2" s="21"/>
    </row>
    <row r="3" spans="1:12" ht="20.25" x14ac:dyDescent="0.3">
      <c r="A3" s="29" t="s">
        <v>80</v>
      </c>
      <c r="B3" s="27" t="s">
        <v>75</v>
      </c>
      <c r="C3" s="27"/>
      <c r="D3" s="27"/>
      <c r="E3" s="31" t="s">
        <v>81</v>
      </c>
      <c r="F3" s="30"/>
      <c r="G3" s="27">
        <v>58124</v>
      </c>
      <c r="H3" s="21"/>
      <c r="I3" s="21"/>
      <c r="J3" s="21"/>
      <c r="K3" s="21"/>
      <c r="L3" s="21"/>
    </row>
    <row r="4" spans="1:12" ht="20.25" x14ac:dyDescent="0.3">
      <c r="A4" s="29" t="s">
        <v>80</v>
      </c>
      <c r="B4" s="27" t="s">
        <v>82</v>
      </c>
      <c r="C4" s="27"/>
      <c r="D4" s="27"/>
      <c r="E4" s="27" t="s">
        <v>54</v>
      </c>
      <c r="F4" s="27">
        <v>1200</v>
      </c>
      <c r="G4" s="27">
        <f>50*F4</f>
        <v>60000</v>
      </c>
      <c r="H4" s="21"/>
      <c r="I4" s="21"/>
      <c r="J4" s="21"/>
      <c r="K4" s="21"/>
      <c r="L4" s="21"/>
    </row>
    <row r="5" spans="1:12" ht="20.25" x14ac:dyDescent="0.3">
      <c r="A5" s="29" t="s">
        <v>89</v>
      </c>
      <c r="B5" s="27" t="s">
        <v>33</v>
      </c>
      <c r="C5" s="27"/>
      <c r="D5" s="27"/>
      <c r="E5" s="31" t="s">
        <v>83</v>
      </c>
      <c r="F5" s="27"/>
      <c r="G5" s="27">
        <v>49200</v>
      </c>
      <c r="H5" s="21"/>
      <c r="I5" s="21"/>
      <c r="J5" s="21"/>
      <c r="K5" s="21"/>
      <c r="L5" s="21"/>
    </row>
    <row r="6" spans="1:12" ht="20.25" x14ac:dyDescent="0.3">
      <c r="A6" s="29" t="s">
        <v>89</v>
      </c>
      <c r="B6" s="27" t="s">
        <v>84</v>
      </c>
      <c r="C6" s="27"/>
      <c r="D6" s="27"/>
      <c r="E6" s="27" t="s">
        <v>85</v>
      </c>
      <c r="F6" s="30"/>
      <c r="G6" s="28">
        <v>40000</v>
      </c>
      <c r="H6" s="21"/>
      <c r="I6" s="21"/>
      <c r="J6" s="21"/>
      <c r="K6" s="21"/>
      <c r="L6" s="21"/>
    </row>
    <row r="7" spans="1:12" ht="21" x14ac:dyDescent="0.35">
      <c r="A7" s="38" t="s">
        <v>88</v>
      </c>
      <c r="B7" s="27" t="s">
        <v>86</v>
      </c>
      <c r="C7" s="27"/>
      <c r="D7" s="27"/>
      <c r="E7" s="27" t="s">
        <v>87</v>
      </c>
      <c r="F7" s="32"/>
      <c r="G7" s="28">
        <v>26000</v>
      </c>
    </row>
    <row r="8" spans="1:12" ht="21" x14ac:dyDescent="0.35">
      <c r="A8" s="33" t="s">
        <v>90</v>
      </c>
      <c r="B8" s="27" t="s">
        <v>91</v>
      </c>
      <c r="C8" s="27"/>
      <c r="D8" s="27"/>
      <c r="E8" s="27" t="s">
        <v>92</v>
      </c>
      <c r="F8" s="32">
        <v>1200</v>
      </c>
      <c r="G8" s="28">
        <f>14*F8</f>
        <v>16800</v>
      </c>
    </row>
    <row r="9" spans="1:12" ht="21" x14ac:dyDescent="0.35">
      <c r="A9" s="33" t="s">
        <v>90</v>
      </c>
      <c r="B9" s="27" t="s">
        <v>93</v>
      </c>
      <c r="C9" s="27"/>
      <c r="D9" s="27"/>
      <c r="E9" s="27" t="s">
        <v>92</v>
      </c>
      <c r="F9" s="32">
        <v>1200</v>
      </c>
      <c r="G9" s="28">
        <f>F9*14</f>
        <v>16800</v>
      </c>
    </row>
    <row r="10" spans="1:12" ht="21" x14ac:dyDescent="0.35">
      <c r="A10" s="33"/>
      <c r="B10" s="27"/>
      <c r="C10" s="27"/>
      <c r="D10" s="27"/>
      <c r="E10" s="27"/>
      <c r="F10" s="32"/>
      <c r="G10" s="28"/>
    </row>
    <row r="11" spans="1:12" ht="21" x14ac:dyDescent="0.35">
      <c r="A11" s="32"/>
      <c r="B11" s="27" t="s">
        <v>9</v>
      </c>
      <c r="C11" s="27"/>
      <c r="D11" s="27"/>
      <c r="E11" s="32"/>
      <c r="F11" s="32"/>
      <c r="G11" s="40">
        <f>SUM(G3:G9)</f>
        <v>266924</v>
      </c>
    </row>
    <row r="12" spans="1:12" ht="20.25" x14ac:dyDescent="0.3">
      <c r="G12" s="28"/>
    </row>
    <row r="13" spans="1:12" ht="22.5" x14ac:dyDescent="0.3">
      <c r="B13" s="42" t="s">
        <v>11</v>
      </c>
      <c r="C13" s="42"/>
      <c r="D13" s="42"/>
      <c r="E13" s="42"/>
      <c r="F13" s="42"/>
      <c r="G13" s="42"/>
      <c r="H13" s="42"/>
      <c r="I13" s="42"/>
    </row>
    <row r="14" spans="1:12" ht="18.75" x14ac:dyDescent="0.4">
      <c r="A14" s="3" t="s">
        <v>1</v>
      </c>
      <c r="B14" s="3" t="s">
        <v>2</v>
      </c>
      <c r="C14" s="3"/>
      <c r="D14" s="3"/>
      <c r="E14" s="3" t="s">
        <v>12</v>
      </c>
      <c r="F14" s="3" t="s">
        <v>3</v>
      </c>
      <c r="G14" s="3" t="s">
        <v>26</v>
      </c>
      <c r="H14" s="3" t="s">
        <v>27</v>
      </c>
      <c r="I14" s="3" t="s">
        <v>21</v>
      </c>
    </row>
    <row r="15" spans="1:12" ht="20.25" x14ac:dyDescent="0.4">
      <c r="A15" s="39">
        <v>46146</v>
      </c>
      <c r="B15" s="11" t="s">
        <v>25</v>
      </c>
      <c r="C15" s="11"/>
      <c r="D15" s="11"/>
      <c r="E15" s="2">
        <v>187</v>
      </c>
      <c r="F15" s="3">
        <v>1500</v>
      </c>
      <c r="G15" s="3">
        <f>E15*F15</f>
        <v>280500</v>
      </c>
      <c r="H15" s="3"/>
      <c r="I15" s="3"/>
    </row>
    <row r="16" spans="1:12" ht="18.75" x14ac:dyDescent="0.4">
      <c r="E16" s="2"/>
      <c r="F16" s="3"/>
      <c r="G16" s="3"/>
      <c r="I16" s="3"/>
    </row>
    <row r="17" spans="1:12" ht="18.75" x14ac:dyDescent="0.4">
      <c r="A17" s="3" t="s">
        <v>39</v>
      </c>
      <c r="G17" s="37">
        <f>G15</f>
        <v>280500</v>
      </c>
    </row>
    <row r="19" spans="1:12" ht="20.25" x14ac:dyDescent="0.3">
      <c r="A19" s="43" t="s">
        <v>15</v>
      </c>
      <c r="B19" s="43"/>
      <c r="C19" s="43"/>
      <c r="D19" s="43"/>
      <c r="E19" s="43"/>
      <c r="F19" s="43"/>
      <c r="G19" s="43"/>
    </row>
    <row r="20" spans="1:12" ht="20.25" x14ac:dyDescent="0.4">
      <c r="A20" s="3" t="s">
        <v>41</v>
      </c>
      <c r="B20" s="3" t="s">
        <v>66</v>
      </c>
      <c r="C20" s="3"/>
      <c r="D20" s="3"/>
      <c r="E20" s="3">
        <f>G11</f>
        <v>266924</v>
      </c>
      <c r="F20" s="13"/>
      <c r="G20" s="13" t="s">
        <v>22</v>
      </c>
    </row>
    <row r="21" spans="1:12" ht="18.75" x14ac:dyDescent="0.4">
      <c r="A21" s="26" t="s">
        <v>94</v>
      </c>
      <c r="B21" s="3" t="s">
        <v>64</v>
      </c>
      <c r="C21" s="3"/>
      <c r="D21" s="3"/>
      <c r="E21" s="18">
        <v>6400</v>
      </c>
      <c r="F21" s="5"/>
      <c r="G21" s="5"/>
    </row>
    <row r="22" spans="1:12" ht="18.75" x14ac:dyDescent="0.4">
      <c r="B22" s="3" t="s">
        <v>65</v>
      </c>
      <c r="C22" s="3"/>
      <c r="D22" s="3"/>
      <c r="E22" s="37">
        <f>SUM(E20:E21)</f>
        <v>273324</v>
      </c>
    </row>
    <row r="24" spans="1:12" ht="20.25" x14ac:dyDescent="0.3">
      <c r="A24" s="44" t="s">
        <v>67</v>
      </c>
      <c r="B24" s="44"/>
      <c r="C24" s="44"/>
      <c r="D24" s="44"/>
      <c r="E24" s="44"/>
      <c r="F24" s="44"/>
      <c r="G24" s="44"/>
    </row>
    <row r="25" spans="1:12" ht="18.75" x14ac:dyDescent="0.4">
      <c r="A25" s="3" t="s">
        <v>41</v>
      </c>
      <c r="B25" s="3" t="s">
        <v>45</v>
      </c>
      <c r="C25" s="3"/>
      <c r="D25" s="3"/>
      <c r="E25" s="3">
        <f>G17</f>
        <v>280500</v>
      </c>
    </row>
    <row r="26" spans="1:12" ht="18.75" x14ac:dyDescent="0.4">
      <c r="A26" s="26">
        <v>46146</v>
      </c>
      <c r="B26" s="3" t="s">
        <v>43</v>
      </c>
      <c r="C26" s="3"/>
      <c r="D26" s="3"/>
      <c r="E26" s="18">
        <f>E22</f>
        <v>273324</v>
      </c>
    </row>
    <row r="27" spans="1:12" ht="18.75" x14ac:dyDescent="0.4">
      <c r="B27" s="3" t="s">
        <v>44</v>
      </c>
      <c r="C27" s="3"/>
      <c r="D27" s="3"/>
      <c r="E27" s="37">
        <f>E25-E26</f>
        <v>7176</v>
      </c>
    </row>
    <row r="30" spans="1:12" ht="20.25" x14ac:dyDescent="0.25">
      <c r="A30" s="41" t="s">
        <v>10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</row>
    <row r="31" spans="1:12" ht="18.75" x14ac:dyDescent="0.3">
      <c r="A31" s="22" t="s">
        <v>1</v>
      </c>
      <c r="B31" s="22" t="s">
        <v>2</v>
      </c>
      <c r="C31" s="22"/>
      <c r="D31" s="22"/>
      <c r="E31" s="22" t="s">
        <v>7</v>
      </c>
      <c r="F31" s="22" t="s">
        <v>3</v>
      </c>
      <c r="G31" s="22" t="s">
        <v>4</v>
      </c>
      <c r="H31" s="21"/>
      <c r="I31" s="21"/>
      <c r="J31" s="21"/>
      <c r="K31" s="21"/>
      <c r="L31" s="21"/>
    </row>
    <row r="32" spans="1:12" ht="20.25" x14ac:dyDescent="0.3">
      <c r="A32" s="29">
        <v>46058</v>
      </c>
      <c r="B32" s="27" t="s">
        <v>95</v>
      </c>
      <c r="C32" s="27"/>
      <c r="D32" s="27"/>
      <c r="E32" s="31" t="s">
        <v>96</v>
      </c>
      <c r="F32" s="30"/>
      <c r="G32" s="27">
        <v>64000</v>
      </c>
      <c r="H32" s="21"/>
      <c r="I32" s="21"/>
      <c r="J32" s="21"/>
      <c r="K32" s="21"/>
      <c r="L32" s="21"/>
    </row>
    <row r="33" spans="1:12" ht="20.25" x14ac:dyDescent="0.3">
      <c r="A33" s="29">
        <v>46058</v>
      </c>
      <c r="B33" s="27" t="s">
        <v>97</v>
      </c>
      <c r="C33" s="27"/>
      <c r="D33" s="27"/>
      <c r="E33" s="27" t="s">
        <v>96</v>
      </c>
      <c r="F33" s="27"/>
      <c r="G33" s="27">
        <v>64000</v>
      </c>
      <c r="H33" s="21"/>
      <c r="I33" s="21"/>
      <c r="J33" s="21"/>
      <c r="K33" s="21"/>
      <c r="L33" s="21"/>
    </row>
    <row r="34" spans="1:12" ht="20.25" x14ac:dyDescent="0.3">
      <c r="A34" s="29">
        <v>46059</v>
      </c>
      <c r="B34" s="27" t="s">
        <v>98</v>
      </c>
      <c r="C34" s="27"/>
      <c r="D34" s="27"/>
      <c r="E34" s="31" t="s">
        <v>99</v>
      </c>
      <c r="F34" s="27"/>
      <c r="G34" s="27">
        <v>70000</v>
      </c>
      <c r="H34" s="21"/>
      <c r="I34" s="21"/>
      <c r="J34" s="21"/>
      <c r="K34" s="21"/>
      <c r="L34" s="21"/>
    </row>
    <row r="35" spans="1:12" ht="20.25" x14ac:dyDescent="0.3">
      <c r="A35" s="29">
        <v>46060</v>
      </c>
      <c r="B35" s="27" t="s">
        <v>100</v>
      </c>
      <c r="C35" s="27"/>
      <c r="D35" s="27"/>
      <c r="E35" s="27" t="s">
        <v>101</v>
      </c>
      <c r="F35" s="30"/>
      <c r="G35" s="28">
        <v>42000</v>
      </c>
      <c r="H35" s="21"/>
      <c r="I35" s="21"/>
      <c r="J35" s="21"/>
      <c r="K35" s="21"/>
      <c r="L35" s="21"/>
    </row>
    <row r="36" spans="1:12" ht="21" x14ac:dyDescent="0.35">
      <c r="A36" s="29">
        <v>46061</v>
      </c>
      <c r="B36" s="27" t="s">
        <v>102</v>
      </c>
      <c r="C36" s="27"/>
      <c r="D36" s="27"/>
      <c r="E36" s="27" t="s">
        <v>109</v>
      </c>
      <c r="F36" s="32"/>
      <c r="G36" s="28">
        <v>18000</v>
      </c>
    </row>
    <row r="37" spans="1:12" ht="21" x14ac:dyDescent="0.35">
      <c r="A37" s="29"/>
      <c r="B37" s="27" t="s">
        <v>110</v>
      </c>
      <c r="C37" s="27"/>
      <c r="D37" s="27"/>
      <c r="E37" s="27" t="s">
        <v>111</v>
      </c>
      <c r="F37" s="32"/>
      <c r="G37" s="28">
        <v>38400</v>
      </c>
    </row>
    <row r="38" spans="1:12" ht="21" x14ac:dyDescent="0.35">
      <c r="A38" s="29">
        <v>46062</v>
      </c>
      <c r="B38" s="27" t="s">
        <v>103</v>
      </c>
      <c r="C38" s="27"/>
      <c r="D38" s="27"/>
      <c r="E38" s="27" t="s">
        <v>104</v>
      </c>
      <c r="F38" s="32"/>
      <c r="G38" s="28">
        <v>16000</v>
      </c>
    </row>
    <row r="39" spans="1:12" ht="21" x14ac:dyDescent="0.35">
      <c r="A39" s="29">
        <v>46063</v>
      </c>
      <c r="B39" s="27" t="s">
        <v>107</v>
      </c>
      <c r="C39" s="27"/>
      <c r="D39" s="27"/>
      <c r="E39" s="27" t="s">
        <v>108</v>
      </c>
      <c r="F39" s="32"/>
      <c r="G39" s="28">
        <v>74000</v>
      </c>
    </row>
    <row r="40" spans="1:12" ht="20.25" x14ac:dyDescent="0.3">
      <c r="B40" s="27" t="s">
        <v>105</v>
      </c>
      <c r="C40" s="27"/>
      <c r="D40" s="27"/>
      <c r="E40" s="27" t="s">
        <v>106</v>
      </c>
      <c r="G40" s="28">
        <v>38600</v>
      </c>
    </row>
    <row r="41" spans="1:12" ht="20.25" x14ac:dyDescent="0.3">
      <c r="B41" s="27" t="s">
        <v>9</v>
      </c>
      <c r="C41" s="27"/>
      <c r="D41" s="27"/>
      <c r="G41" s="54">
        <f>SUM(G32:G40)</f>
        <v>425000</v>
      </c>
    </row>
    <row r="45" spans="1:12" ht="23.25" x14ac:dyDescent="0.35">
      <c r="A45" s="53" t="s">
        <v>112</v>
      </c>
      <c r="B45" s="53"/>
      <c r="C45" s="53"/>
      <c r="D45" s="53"/>
      <c r="E45" s="53"/>
      <c r="F45" s="53"/>
      <c r="G45" s="53"/>
      <c r="H45" s="53"/>
      <c r="I45" s="53"/>
    </row>
    <row r="46" spans="1:12" ht="18.75" x14ac:dyDescent="0.3">
      <c r="A46" s="10" t="s">
        <v>113</v>
      </c>
      <c r="B46" s="10" t="s">
        <v>114</v>
      </c>
      <c r="C46" s="10" t="s">
        <v>118</v>
      </c>
      <c r="D46" s="10" t="s">
        <v>117</v>
      </c>
      <c r="E46" s="10" t="s">
        <v>115</v>
      </c>
      <c r="F46" s="10" t="s">
        <v>116</v>
      </c>
      <c r="G46" s="10" t="s">
        <v>4</v>
      </c>
    </row>
    <row r="47" spans="1:12" ht="18.75" x14ac:dyDescent="0.3">
      <c r="A47" s="10" t="s">
        <v>25</v>
      </c>
      <c r="B47" s="10" t="s">
        <v>119</v>
      </c>
      <c r="C47" s="10">
        <v>11</v>
      </c>
      <c r="D47" s="55">
        <v>957</v>
      </c>
      <c r="E47" s="17">
        <v>640000</v>
      </c>
      <c r="F47" s="17">
        <v>49230.769</v>
      </c>
      <c r="G47" s="17">
        <f>C47*F47</f>
        <v>541538.45900000003</v>
      </c>
    </row>
    <row r="49" spans="1:7" ht="20.25" x14ac:dyDescent="0.3">
      <c r="A49" s="43" t="s">
        <v>15</v>
      </c>
      <c r="B49" s="43"/>
      <c r="C49" s="43"/>
      <c r="D49" s="43"/>
      <c r="E49" s="43"/>
      <c r="F49" s="43"/>
      <c r="G49" s="43"/>
    </row>
    <row r="50" spans="1:7" ht="20.25" x14ac:dyDescent="0.4">
      <c r="A50" s="3" t="s">
        <v>41</v>
      </c>
      <c r="B50" s="3" t="s">
        <v>120</v>
      </c>
      <c r="C50" s="3"/>
      <c r="D50" s="3"/>
      <c r="E50" s="3">
        <f>G41</f>
        <v>425000</v>
      </c>
      <c r="F50" s="13"/>
      <c r="G50" s="13" t="s">
        <v>22</v>
      </c>
    </row>
    <row r="51" spans="1:7" ht="18.75" x14ac:dyDescent="0.4">
      <c r="A51" s="26">
        <v>46239</v>
      </c>
      <c r="B51" s="3" t="s">
        <v>64</v>
      </c>
      <c r="C51" s="3"/>
      <c r="D51" s="3"/>
      <c r="E51" s="18">
        <v>7000</v>
      </c>
      <c r="F51" s="5"/>
      <c r="G51" s="5"/>
    </row>
    <row r="52" spans="1:7" ht="18.75" x14ac:dyDescent="0.4">
      <c r="B52" s="3" t="s">
        <v>65</v>
      </c>
      <c r="C52" s="3"/>
      <c r="D52" s="3"/>
      <c r="E52" s="37">
        <f>SUM(E50:E51)</f>
        <v>432000</v>
      </c>
    </row>
    <row r="55" spans="1:7" ht="20.25" x14ac:dyDescent="0.3">
      <c r="A55" s="44" t="s">
        <v>67</v>
      </c>
      <c r="B55" s="44"/>
      <c r="C55" s="44"/>
      <c r="D55" s="44"/>
      <c r="E55" s="44"/>
      <c r="F55" s="44"/>
      <c r="G55" s="44"/>
    </row>
    <row r="56" spans="1:7" ht="18.75" x14ac:dyDescent="0.4">
      <c r="A56" s="3" t="s">
        <v>41</v>
      </c>
      <c r="B56" s="3" t="s">
        <v>45</v>
      </c>
      <c r="C56" s="3"/>
      <c r="D56" s="3"/>
      <c r="E56" s="3">
        <f>G47</f>
        <v>541538.45900000003</v>
      </c>
    </row>
    <row r="57" spans="1:7" ht="18.75" x14ac:dyDescent="0.4">
      <c r="A57" s="26">
        <v>46239</v>
      </c>
      <c r="B57" s="3" t="s">
        <v>43</v>
      </c>
      <c r="C57" s="3"/>
      <c r="D57" s="3"/>
      <c r="E57" s="18">
        <f>E52</f>
        <v>432000</v>
      </c>
    </row>
    <row r="58" spans="1:7" ht="18.75" x14ac:dyDescent="0.4">
      <c r="B58" s="3" t="s">
        <v>44</v>
      </c>
      <c r="C58" s="3"/>
      <c r="D58" s="3"/>
      <c r="E58" s="37">
        <f>E56-E57</f>
        <v>109538.45900000003</v>
      </c>
    </row>
  </sheetData>
  <mergeCells count="8">
    <mergeCell ref="A45:I45"/>
    <mergeCell ref="A49:G49"/>
    <mergeCell ref="A55:G55"/>
    <mergeCell ref="A1:L1"/>
    <mergeCell ref="B13:I13"/>
    <mergeCell ref="A19:G19"/>
    <mergeCell ref="A24:G24"/>
    <mergeCell ref="A30:L30"/>
  </mergeCells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FFEBB-1F56-40A7-A18E-5A1613408172}">
  <dimension ref="A1"/>
  <sheetViews>
    <sheetView workbookViewId="0">
      <selection activeCell="F16" sqref="F1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march 2026</vt:lpstr>
      <vt:lpstr>April 2026</vt:lpstr>
      <vt:lpstr>May2026</vt:lpstr>
      <vt:lpstr>Sheet1</vt:lpstr>
      <vt:lpstr>'April 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Abiodun Itobi</dc:creator>
  <cp:lastModifiedBy>Abiodun Itobi</cp:lastModifiedBy>
  <cp:lastPrinted>2026-05-04T10:21:04Z</cp:lastPrinted>
  <dcterms:created xsi:type="dcterms:W3CDTF">2026-03-14T01:06:11Z</dcterms:created>
  <dcterms:modified xsi:type="dcterms:W3CDTF">2026-05-09T16:19:01Z</dcterms:modified>
</cp:coreProperties>
</file>