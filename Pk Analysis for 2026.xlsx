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E\Desktop\Minaz Abey Agro Data analysis\"/>
    </mc:Choice>
  </mc:AlternateContent>
  <xr:revisionPtr revIDLastSave="0" documentId="13_ncr:1_{05CC5B6A-A015-4717-8E0A-D8BBE08B248A}" xr6:coauthVersionLast="47" xr6:coauthVersionMax="47" xr10:uidLastSave="{00000000-0000-0000-0000-000000000000}"/>
  <bookViews>
    <workbookView xWindow="-120" yWindow="-120" windowWidth="20730" windowHeight="11160" xr2:uid="{863F65E0-0589-4067-AE32-CA16A7948AEE}"/>
  </bookViews>
  <sheets>
    <sheet name="march 202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8" i="1" l="1"/>
  <c r="E63" i="1"/>
  <c r="G63" i="1" s="1"/>
  <c r="E64" i="1"/>
  <c r="G64" i="1" s="1"/>
  <c r="E52" i="1"/>
  <c r="B57" i="1" s="1"/>
  <c r="B59" i="1" s="1"/>
  <c r="B39" i="1"/>
  <c r="E33" i="1"/>
  <c r="G33" i="1" s="1"/>
  <c r="A42" i="1" s="1"/>
  <c r="B18" i="1"/>
  <c r="B22" i="1" s="1"/>
  <c r="F4" i="1"/>
  <c r="E12" i="1"/>
  <c r="F12" i="1" s="1"/>
  <c r="A22" i="1" s="1"/>
  <c r="F29" i="1"/>
  <c r="B42" i="1" s="1"/>
  <c r="G65" i="1" l="1"/>
  <c r="C67" i="1" s="1"/>
  <c r="C69" i="1" s="1"/>
  <c r="C42" i="1"/>
  <c r="C22" i="1"/>
</calcChain>
</file>

<file path=xl/sharedStrings.xml><?xml version="1.0" encoding="utf-8"?>
<sst xmlns="http://schemas.openxmlformats.org/spreadsheetml/2006/main" count="110" uniqueCount="53">
  <si>
    <t xml:space="preserve"> </t>
  </si>
  <si>
    <t>Date</t>
  </si>
  <si>
    <t>Name</t>
  </si>
  <si>
    <t>Unit Price</t>
  </si>
  <si>
    <t>Total Price</t>
  </si>
  <si>
    <t>Afa Suraju</t>
  </si>
  <si>
    <t>Pual</t>
  </si>
  <si>
    <t>Quantity  (KG)</t>
  </si>
  <si>
    <t>Iya warisi</t>
  </si>
  <si>
    <t>Total</t>
  </si>
  <si>
    <t>Minaz Abey PK Prodction    Supply</t>
  </si>
  <si>
    <t xml:space="preserve"> Production  Palm Kernel Oil and Cake</t>
  </si>
  <si>
    <t>Quantity (liters)</t>
  </si>
  <si>
    <t>MinaAbeyAgro</t>
  </si>
  <si>
    <t>13-02-2026</t>
  </si>
  <si>
    <t>Expenses</t>
  </si>
  <si>
    <t>Total Product</t>
  </si>
  <si>
    <t>Transportion</t>
  </si>
  <si>
    <t>Total Expense</t>
  </si>
  <si>
    <t>Profit Or Lost</t>
  </si>
  <si>
    <t>Total Expenses</t>
  </si>
  <si>
    <t>Total Income</t>
  </si>
  <si>
    <t>`</t>
  </si>
  <si>
    <t>Lost</t>
  </si>
  <si>
    <t>13-03-2026</t>
  </si>
  <si>
    <t>Minazabeyagro</t>
  </si>
  <si>
    <t>Total Price  Liter</t>
  </si>
  <si>
    <t>PK Cake</t>
  </si>
  <si>
    <t>Profit</t>
  </si>
  <si>
    <t>Total Price of Litter</t>
  </si>
  <si>
    <t>14/3/2026</t>
  </si>
  <si>
    <t>IYA SAMUEL</t>
  </si>
  <si>
    <t>IYA ABIODUN</t>
  </si>
  <si>
    <t>IYA WARISI</t>
  </si>
  <si>
    <t>53 CONGO</t>
  </si>
  <si>
    <t>43 CONGO</t>
  </si>
  <si>
    <t>60  CONGO</t>
  </si>
  <si>
    <t xml:space="preserve">PUAL </t>
  </si>
  <si>
    <t>P 2-1-0</t>
  </si>
  <si>
    <t>TOTAL</t>
  </si>
  <si>
    <t>P 2-2-20</t>
  </si>
  <si>
    <t>DATE</t>
  </si>
  <si>
    <t>17-03-2026</t>
  </si>
  <si>
    <t>TOTAL   EXPENSES</t>
  </si>
  <si>
    <t>PROFIT</t>
  </si>
  <si>
    <t>TOTAL  INCOME</t>
  </si>
  <si>
    <t>Mr Paul</t>
  </si>
  <si>
    <t>p 3-2-2</t>
  </si>
  <si>
    <t>18-03-2026</t>
  </si>
  <si>
    <t>Iya Samu</t>
  </si>
  <si>
    <t>24  Congo</t>
  </si>
  <si>
    <t>Iya Teacher</t>
  </si>
  <si>
    <t>4 Congo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</si>
</sst>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₦-466]\ #,##0.00"/>
  </numFmts>
  <fonts count="14" x14ac:knownFonts="1">
    <font>
      <sz val="11"/>
      <color theme="1"/>
      <name val="Calibri"/>
      <family val="2"/>
      <scheme val="minor"/>
    </font>
    <font>
      <b/>
      <sz val="18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Arial Black"/>
      <family val="2"/>
    </font>
    <font>
      <b/>
      <sz val="11"/>
      <color rgb="FFFF0000"/>
      <name val="Arial Black"/>
      <family val="2"/>
    </font>
    <font>
      <b/>
      <sz val="16"/>
      <color theme="1"/>
      <name val="Times New Roman"/>
      <family val="1"/>
    </font>
    <font>
      <b/>
      <sz val="11"/>
      <color theme="4"/>
      <name val="Times New Roman"/>
      <family val="1"/>
    </font>
    <font>
      <sz val="11"/>
      <color theme="4"/>
      <name val="Calibri"/>
      <family val="2"/>
      <scheme val="minor"/>
    </font>
    <font>
      <b/>
      <sz val="14"/>
      <color theme="1"/>
      <name val="Times New Roman"/>
      <family val="1"/>
    </font>
    <font>
      <b/>
      <sz val="14"/>
      <color theme="1"/>
      <name val="Calibri"/>
      <family val="2"/>
      <scheme val="minor"/>
    </font>
    <font>
      <b/>
      <sz val="14"/>
      <name val="Times New Roman"/>
      <family val="1"/>
    </font>
    <font>
      <b/>
      <sz val="11"/>
      <name val="Arial Black"/>
      <family val="2"/>
    </font>
    <font>
      <b/>
      <sz val="18"/>
      <name val="Times New Roman"/>
      <family val="1"/>
    </font>
    <font>
      <sz val="14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4" fillId="0" borderId="0" xfId="0" applyNumberFormat="1" applyFont="1"/>
    <xf numFmtId="0" fontId="2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0" xfId="0" applyFont="1" applyFill="1"/>
    <xf numFmtId="0" fontId="0" fillId="2" borderId="0" xfId="0" applyFill="1"/>
    <xf numFmtId="14" fontId="8" fillId="0" borderId="0" xfId="0" applyNumberFormat="1" applyFont="1"/>
    <xf numFmtId="0" fontId="8" fillId="0" borderId="0" xfId="0" applyFont="1"/>
    <xf numFmtId="0" fontId="9" fillId="0" borderId="0" xfId="0" applyFont="1"/>
    <xf numFmtId="0" fontId="5" fillId="4" borderId="0" xfId="0" applyFont="1" applyFill="1"/>
    <xf numFmtId="0" fontId="10" fillId="0" borderId="0" xfId="0" applyFont="1" applyAlignment="1">
      <alignment horizontal="center"/>
    </xf>
    <xf numFmtId="14" fontId="8" fillId="0" borderId="0" xfId="0" applyNumberFormat="1" applyFont="1" applyAlignment="1">
      <alignment horizontal="left"/>
    </xf>
    <xf numFmtId="0" fontId="0" fillId="3" borderId="0" xfId="0" applyFill="1"/>
    <xf numFmtId="164" fontId="10" fillId="0" borderId="0" xfId="0" applyNumberFormat="1" applyFont="1"/>
    <xf numFmtId="164" fontId="8" fillId="0" borderId="0" xfId="0" applyNumberFormat="1" applyFont="1"/>
    <xf numFmtId="164" fontId="11" fillId="0" borderId="0" xfId="0" applyNumberFormat="1" applyFont="1"/>
    <xf numFmtId="164" fontId="3" fillId="5" borderId="0" xfId="0" applyNumberFormat="1" applyFont="1" applyFill="1"/>
    <xf numFmtId="164" fontId="11" fillId="6" borderId="0" xfId="0" applyNumberFormat="1" applyFont="1" applyFill="1"/>
    <xf numFmtId="0" fontId="1" fillId="0" borderId="0" xfId="0" applyFont="1" applyAlignment="1">
      <alignment horizontal="center"/>
    </xf>
    <xf numFmtId="0" fontId="12" fillId="0" borderId="0" xfId="0" applyFont="1"/>
    <xf numFmtId="0" fontId="1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5" fillId="0" borderId="0" xfId="0" applyFont="1" applyAlignment="1">
      <alignment horizontal="center"/>
    </xf>
    <xf numFmtId="0" fontId="8" fillId="3" borderId="0" xfId="0" applyFont="1" applyFill="1" applyAlignment="1">
      <alignment horizontal="center"/>
    </xf>
    <xf numFmtId="0" fontId="13" fillId="0" borderId="0" xfId="0" applyFont="1"/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6195B-AFD2-40AE-9D55-1C653BFE08AE}">
  <dimension ref="A1:O77"/>
  <sheetViews>
    <sheetView tabSelected="1" topLeftCell="A68" workbookViewId="0">
      <selection activeCell="E77" sqref="E77"/>
    </sheetView>
  </sheetViews>
  <sheetFormatPr defaultRowHeight="15" x14ac:dyDescent="0.25"/>
  <cols>
    <col min="1" max="1" width="21.42578125" customWidth="1"/>
    <col min="2" max="2" width="28.140625" customWidth="1"/>
    <col min="3" max="3" width="18.7109375" customWidth="1"/>
    <col min="4" max="4" width="19.140625" customWidth="1"/>
    <col min="5" max="5" width="28.7109375" customWidth="1"/>
    <col min="6" max="6" width="24.42578125" customWidth="1"/>
    <col min="7" max="7" width="21.7109375" customWidth="1"/>
  </cols>
  <sheetData>
    <row r="1" spans="1:15" x14ac:dyDescent="0.25">
      <c r="A1" t="s">
        <v>0</v>
      </c>
    </row>
    <row r="2" spans="1:15" ht="22.5" x14ac:dyDescent="0.3">
      <c r="A2" s="24" t="s">
        <v>10</v>
      </c>
      <c r="B2" s="24"/>
      <c r="C2" s="24"/>
      <c r="D2" s="24"/>
      <c r="E2" s="24"/>
      <c r="F2" s="24"/>
      <c r="G2" s="24"/>
      <c r="H2" s="24"/>
      <c r="I2" s="24"/>
      <c r="J2" s="24"/>
      <c r="K2" s="15"/>
      <c r="L2" s="15"/>
      <c r="M2" s="15"/>
      <c r="N2" s="15"/>
      <c r="O2" s="15"/>
    </row>
    <row r="3" spans="1:15" x14ac:dyDescent="0.25">
      <c r="B3" s="1" t="s">
        <v>1</v>
      </c>
      <c r="C3" s="1" t="s">
        <v>2</v>
      </c>
      <c r="D3" s="1" t="s">
        <v>7</v>
      </c>
      <c r="E3" s="1" t="s">
        <v>3</v>
      </c>
      <c r="F3" s="1" t="s">
        <v>4</v>
      </c>
    </row>
    <row r="4" spans="1:15" ht="18.75" x14ac:dyDescent="0.4">
      <c r="B4" t="s">
        <v>14</v>
      </c>
      <c r="C4" t="s">
        <v>5</v>
      </c>
      <c r="D4">
        <v>498</v>
      </c>
      <c r="E4">
        <v>611.42999999999995</v>
      </c>
      <c r="F4" s="4">
        <f>D4*E4</f>
        <v>304492.13999999996</v>
      </c>
    </row>
    <row r="10" spans="1:15" ht="18.75" x14ac:dyDescent="0.3">
      <c r="A10" s="27" t="s">
        <v>11</v>
      </c>
      <c r="B10" s="27"/>
      <c r="C10" s="27"/>
      <c r="D10" s="27"/>
      <c r="E10" s="27"/>
      <c r="F10" s="27"/>
      <c r="G10" s="27"/>
      <c r="H10" s="25"/>
      <c r="I10" s="25"/>
      <c r="J10" s="25"/>
      <c r="K10" s="15"/>
      <c r="L10" s="15"/>
      <c r="M10" s="15"/>
      <c r="N10" s="15"/>
      <c r="O10" s="15"/>
    </row>
    <row r="11" spans="1:15" ht="18.75" x14ac:dyDescent="0.3">
      <c r="A11" s="10" t="s">
        <v>1</v>
      </c>
      <c r="B11" s="10" t="s">
        <v>2</v>
      </c>
      <c r="C11" s="10" t="s">
        <v>12</v>
      </c>
      <c r="D11" s="10" t="s">
        <v>3</v>
      </c>
      <c r="E11" s="10" t="s">
        <v>29</v>
      </c>
      <c r="F11" s="10" t="s">
        <v>21</v>
      </c>
      <c r="G11" s="10"/>
    </row>
    <row r="12" spans="1:15" ht="18.75" x14ac:dyDescent="0.3">
      <c r="A12" s="9">
        <v>46298</v>
      </c>
      <c r="B12" s="10" t="s">
        <v>13</v>
      </c>
      <c r="C12" s="10">
        <v>198</v>
      </c>
      <c r="D12" s="10">
        <v>1545</v>
      </c>
      <c r="E12" s="16">
        <f>C12*D12</f>
        <v>305910</v>
      </c>
      <c r="F12" s="17">
        <f>E12</f>
        <v>305910</v>
      </c>
      <c r="G12" s="10"/>
    </row>
    <row r="14" spans="1:15" ht="20.25" x14ac:dyDescent="0.3">
      <c r="A14" s="12" t="s">
        <v>15</v>
      </c>
    </row>
    <row r="16" spans="1:15" ht="18.75" x14ac:dyDescent="0.4">
      <c r="A16" s="1" t="s">
        <v>16</v>
      </c>
      <c r="B16" s="3">
        <v>304492.14</v>
      </c>
      <c r="D16" t="s">
        <v>0</v>
      </c>
    </row>
    <row r="17" spans="1:13" ht="18.75" x14ac:dyDescent="0.4">
      <c r="A17" s="1" t="s">
        <v>17</v>
      </c>
      <c r="B17" s="3">
        <v>10000</v>
      </c>
    </row>
    <row r="18" spans="1:13" ht="18.75" x14ac:dyDescent="0.4">
      <c r="A18" t="s">
        <v>18</v>
      </c>
      <c r="B18" s="3">
        <f>SUM(B16:B17)</f>
        <v>314492.14</v>
      </c>
    </row>
    <row r="20" spans="1:13" ht="20.25" x14ac:dyDescent="0.3">
      <c r="A20" s="26" t="s">
        <v>19</v>
      </c>
      <c r="B20" s="26"/>
      <c r="C20" s="26"/>
      <c r="D20" s="26"/>
      <c r="E20" s="26"/>
    </row>
    <row r="21" spans="1:13" x14ac:dyDescent="0.25">
      <c r="A21" s="5" t="s">
        <v>21</v>
      </c>
      <c r="B21" s="5" t="s">
        <v>20</v>
      </c>
      <c r="C21" s="5" t="s">
        <v>23</v>
      </c>
      <c r="D21" s="5"/>
      <c r="E21" s="5" t="s">
        <v>22</v>
      </c>
    </row>
    <row r="22" spans="1:13" ht="18.75" x14ac:dyDescent="0.4">
      <c r="A22" s="3">
        <f>F12</f>
        <v>305910</v>
      </c>
      <c r="B22" s="3">
        <f>B18</f>
        <v>314492.14</v>
      </c>
      <c r="C22" s="4">
        <f>A22-B22</f>
        <v>-8582.140000000014</v>
      </c>
      <c r="D22" s="5"/>
      <c r="E22" s="5"/>
    </row>
    <row r="23" spans="1:13" x14ac:dyDescent="0.25">
      <c r="A23" s="6"/>
      <c r="B23" s="6"/>
      <c r="C23" s="6"/>
      <c r="D23" s="6"/>
      <c r="E23" s="6"/>
      <c r="F23" s="7"/>
      <c r="G23" s="7"/>
      <c r="H23" s="7"/>
      <c r="I23" s="7"/>
      <c r="J23" s="7"/>
      <c r="K23" s="7"/>
      <c r="L23" s="7"/>
      <c r="M23" s="8"/>
    </row>
    <row r="24" spans="1:13" ht="22.5" x14ac:dyDescent="0.3">
      <c r="B24" s="21" t="s">
        <v>10</v>
      </c>
      <c r="C24" s="21"/>
      <c r="D24" s="21"/>
      <c r="E24" s="21"/>
      <c r="F24" s="21"/>
      <c r="G24" s="21"/>
      <c r="H24" s="21"/>
      <c r="I24" s="21"/>
      <c r="J24" s="21"/>
    </row>
    <row r="25" spans="1:13" x14ac:dyDescent="0.25">
      <c r="B25" s="1" t="s">
        <v>1</v>
      </c>
      <c r="C25" s="1" t="s">
        <v>2</v>
      </c>
      <c r="D25" s="1" t="s">
        <v>7</v>
      </c>
      <c r="E25" s="1" t="s">
        <v>3</v>
      </c>
      <c r="F25" s="1" t="s">
        <v>4</v>
      </c>
    </row>
    <row r="26" spans="1:13" ht="20.25" x14ac:dyDescent="0.4">
      <c r="B26" s="14">
        <v>46268</v>
      </c>
      <c r="C26" s="10" t="s">
        <v>5</v>
      </c>
      <c r="D26" s="10">
        <v>549</v>
      </c>
      <c r="E26" s="10">
        <v>631</v>
      </c>
      <c r="F26" s="3">
        <v>344615.38</v>
      </c>
    </row>
    <row r="27" spans="1:13" ht="20.25" x14ac:dyDescent="0.4">
      <c r="B27" s="10"/>
      <c r="C27" s="10" t="s">
        <v>6</v>
      </c>
      <c r="D27" s="10">
        <v>100</v>
      </c>
      <c r="E27" s="10"/>
      <c r="F27" s="3">
        <v>76000</v>
      </c>
    </row>
    <row r="28" spans="1:13" ht="20.25" x14ac:dyDescent="0.4">
      <c r="B28" s="10"/>
      <c r="C28" s="10" t="s">
        <v>8</v>
      </c>
      <c r="D28" s="10">
        <v>75</v>
      </c>
      <c r="E28" s="10"/>
      <c r="F28" s="3">
        <v>40000</v>
      </c>
    </row>
    <row r="29" spans="1:13" ht="18.75" x14ac:dyDescent="0.4">
      <c r="C29" s="2" t="s">
        <v>9</v>
      </c>
      <c r="F29" s="3">
        <f>SUM(F26:F28)</f>
        <v>460615.38</v>
      </c>
    </row>
    <row r="31" spans="1:13" ht="22.5" x14ac:dyDescent="0.3">
      <c r="B31" s="22" t="s">
        <v>11</v>
      </c>
      <c r="C31" s="22"/>
      <c r="D31" s="22"/>
      <c r="E31" s="22"/>
      <c r="F31" s="22"/>
      <c r="G31" s="22"/>
    </row>
    <row r="32" spans="1:13" ht="18.75" x14ac:dyDescent="0.4">
      <c r="A32" s="3" t="s">
        <v>1</v>
      </c>
      <c r="B32" s="3" t="s">
        <v>2</v>
      </c>
      <c r="C32" s="3" t="s">
        <v>12</v>
      </c>
      <c r="D32" s="3" t="s">
        <v>3</v>
      </c>
      <c r="E32" s="3" t="s">
        <v>26</v>
      </c>
      <c r="F32" s="3" t="s">
        <v>27</v>
      </c>
      <c r="G32" s="3" t="s">
        <v>21</v>
      </c>
    </row>
    <row r="33" spans="1:13" ht="20.25" x14ac:dyDescent="0.4">
      <c r="A33" s="11" t="s">
        <v>24</v>
      </c>
      <c r="B33" s="11" t="s">
        <v>25</v>
      </c>
      <c r="C33" s="3">
        <v>280</v>
      </c>
      <c r="D33" s="3">
        <v>1500</v>
      </c>
      <c r="E33" s="3">
        <f>C33*D33</f>
        <v>420000</v>
      </c>
      <c r="F33" s="3">
        <v>50000</v>
      </c>
      <c r="G33" s="3">
        <f>E33+F33</f>
        <v>470000</v>
      </c>
    </row>
    <row r="34" spans="1:13" ht="18.75" x14ac:dyDescent="0.3">
      <c r="A34" s="11"/>
      <c r="B34" s="11"/>
      <c r="C34" s="11"/>
      <c r="D34" s="11"/>
      <c r="E34" s="11"/>
    </row>
    <row r="35" spans="1:13" ht="20.25" x14ac:dyDescent="0.3">
      <c r="A35" s="12" t="s">
        <v>15</v>
      </c>
    </row>
    <row r="37" spans="1:13" ht="18.75" x14ac:dyDescent="0.4">
      <c r="A37" s="1" t="s">
        <v>16</v>
      </c>
      <c r="B37" s="3">
        <v>460615.38</v>
      </c>
    </row>
    <row r="38" spans="1:13" ht="18.75" x14ac:dyDescent="0.4">
      <c r="A38" s="1" t="s">
        <v>17</v>
      </c>
      <c r="B38" s="3">
        <v>11000</v>
      </c>
    </row>
    <row r="39" spans="1:13" ht="20.25" x14ac:dyDescent="0.4">
      <c r="A39" s="10" t="s">
        <v>18</v>
      </c>
      <c r="B39" s="3">
        <f>SUM(B37:B38)</f>
        <v>471615.38</v>
      </c>
    </row>
    <row r="40" spans="1:13" ht="18.75" x14ac:dyDescent="0.3">
      <c r="A40" s="23" t="s">
        <v>19</v>
      </c>
      <c r="B40" s="23"/>
      <c r="C40" s="23"/>
      <c r="D40" s="23"/>
      <c r="E40" s="23"/>
    </row>
    <row r="41" spans="1:13" ht="18.75" x14ac:dyDescent="0.3">
      <c r="A41" s="13" t="s">
        <v>21</v>
      </c>
      <c r="B41" s="13" t="s">
        <v>20</v>
      </c>
      <c r="C41" s="13" t="s">
        <v>28</v>
      </c>
      <c r="D41" s="13"/>
      <c r="E41" s="13" t="s">
        <v>22</v>
      </c>
    </row>
    <row r="42" spans="1:13" ht="18.75" x14ac:dyDescent="0.4">
      <c r="A42" s="3">
        <f>G33</f>
        <v>470000</v>
      </c>
      <c r="B42" s="3">
        <f>F29</f>
        <v>460615.38</v>
      </c>
      <c r="C42" s="18">
        <f>A42-B42</f>
        <v>9384.6199999999953</v>
      </c>
      <c r="D42" s="5"/>
      <c r="E42" s="5"/>
    </row>
    <row r="44" spans="1:13" x14ac:dyDescent="0.2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 spans="1:13" ht="22.5" x14ac:dyDescent="0.3">
      <c r="B45" s="21" t="s">
        <v>10</v>
      </c>
      <c r="C45" s="21"/>
      <c r="D45" s="21"/>
      <c r="E45" s="21"/>
      <c r="F45" s="21"/>
      <c r="G45" s="21"/>
      <c r="H45" s="21"/>
      <c r="I45" s="21"/>
      <c r="J45" s="21"/>
    </row>
    <row r="46" spans="1:13" x14ac:dyDescent="0.25">
      <c r="A46" s="1" t="s">
        <v>1</v>
      </c>
      <c r="B46" s="1" t="s">
        <v>2</v>
      </c>
      <c r="C46" s="1" t="s">
        <v>7</v>
      </c>
      <c r="D46" s="1" t="s">
        <v>3</v>
      </c>
      <c r="E46" s="1" t="s">
        <v>4</v>
      </c>
    </row>
    <row r="47" spans="1:13" ht="20.25" x14ac:dyDescent="0.4">
      <c r="A47" s="10" t="s">
        <v>30</v>
      </c>
      <c r="B47" s="10" t="s">
        <v>31</v>
      </c>
      <c r="C47" s="10" t="s">
        <v>34</v>
      </c>
      <c r="D47" s="10">
        <v>1200</v>
      </c>
      <c r="E47" s="18">
        <v>63600</v>
      </c>
    </row>
    <row r="48" spans="1:13" ht="20.25" x14ac:dyDescent="0.4">
      <c r="A48" s="10"/>
      <c r="B48" s="10" t="s">
        <v>32</v>
      </c>
      <c r="C48" s="10" t="s">
        <v>35</v>
      </c>
      <c r="D48" s="10">
        <v>1100</v>
      </c>
      <c r="E48" s="18">
        <v>47300</v>
      </c>
    </row>
    <row r="49" spans="1:7" ht="20.25" x14ac:dyDescent="0.4">
      <c r="A49" s="10"/>
      <c r="B49" s="10" t="s">
        <v>33</v>
      </c>
      <c r="C49" s="10" t="s">
        <v>36</v>
      </c>
      <c r="D49" s="10">
        <v>1200</v>
      </c>
      <c r="E49" s="18">
        <v>72000</v>
      </c>
    </row>
    <row r="50" spans="1:7" ht="20.25" x14ac:dyDescent="0.4">
      <c r="A50" s="10"/>
      <c r="B50" s="10" t="s">
        <v>37</v>
      </c>
      <c r="C50" s="9" t="s">
        <v>38</v>
      </c>
      <c r="D50" s="10"/>
      <c r="E50" s="18">
        <v>70875</v>
      </c>
    </row>
    <row r="51" spans="1:7" ht="20.25" x14ac:dyDescent="0.4">
      <c r="A51" s="10"/>
      <c r="B51" s="10" t="s">
        <v>37</v>
      </c>
      <c r="C51" s="9" t="s">
        <v>40</v>
      </c>
      <c r="D51" s="10"/>
      <c r="E51" s="18">
        <v>50152</v>
      </c>
    </row>
    <row r="52" spans="1:7" ht="20.25" x14ac:dyDescent="0.4">
      <c r="A52" s="10"/>
      <c r="B52" s="10" t="s">
        <v>39</v>
      </c>
      <c r="C52" s="10"/>
      <c r="D52" s="10"/>
      <c r="E52" s="20">
        <f>SUM(E47:E51)</f>
        <v>303927</v>
      </c>
    </row>
    <row r="55" spans="1:7" ht="20.25" x14ac:dyDescent="0.3">
      <c r="A55" s="12" t="s">
        <v>15</v>
      </c>
    </row>
    <row r="57" spans="1:7" ht="18.75" x14ac:dyDescent="0.4">
      <c r="A57" s="1" t="s">
        <v>16</v>
      </c>
      <c r="B57" s="3">
        <f>E52</f>
        <v>303927</v>
      </c>
    </row>
    <row r="58" spans="1:7" ht="18.75" x14ac:dyDescent="0.4">
      <c r="A58" s="1" t="s">
        <v>17</v>
      </c>
      <c r="B58" s="3">
        <v>6000</v>
      </c>
    </row>
    <row r="59" spans="1:7" ht="18.75" x14ac:dyDescent="0.4">
      <c r="A59" t="s">
        <v>39</v>
      </c>
      <c r="B59" s="3">
        <f>SUM(B57:B58)</f>
        <v>309927</v>
      </c>
    </row>
    <row r="61" spans="1:7" ht="22.5" x14ac:dyDescent="0.3">
      <c r="B61" s="22" t="s">
        <v>11</v>
      </c>
      <c r="C61" s="22"/>
      <c r="D61" s="22"/>
      <c r="E61" s="22"/>
      <c r="F61" s="22"/>
      <c r="G61" s="22"/>
    </row>
    <row r="62" spans="1:7" ht="18.75" x14ac:dyDescent="0.4">
      <c r="A62" s="3" t="s">
        <v>1</v>
      </c>
      <c r="B62" s="3" t="s">
        <v>2</v>
      </c>
      <c r="C62" s="3" t="s">
        <v>12</v>
      </c>
      <c r="D62" s="3" t="s">
        <v>3</v>
      </c>
      <c r="E62" s="3" t="s">
        <v>26</v>
      </c>
      <c r="F62" s="3" t="s">
        <v>27</v>
      </c>
      <c r="G62" s="3" t="s">
        <v>21</v>
      </c>
    </row>
    <row r="63" spans="1:7" ht="20.25" x14ac:dyDescent="0.4">
      <c r="A63" s="11" t="s">
        <v>24</v>
      </c>
      <c r="B63" s="11" t="s">
        <v>25</v>
      </c>
      <c r="C63" s="2">
        <v>198</v>
      </c>
      <c r="D63" s="3">
        <v>1454</v>
      </c>
      <c r="E63" s="3">
        <f>C63*D63</f>
        <v>287892</v>
      </c>
      <c r="F63" s="3"/>
      <c r="G63" s="3">
        <f>E63+F63</f>
        <v>287892</v>
      </c>
    </row>
    <row r="64" spans="1:7" ht="18.75" x14ac:dyDescent="0.4">
      <c r="C64" s="2">
        <v>33</v>
      </c>
      <c r="D64" s="3">
        <v>1454</v>
      </c>
      <c r="E64" s="3">
        <f>C64*D64</f>
        <v>47982</v>
      </c>
      <c r="G64" s="3">
        <f>E64+F64</f>
        <v>47982</v>
      </c>
    </row>
    <row r="65" spans="1:13" ht="18.75" x14ac:dyDescent="0.4">
      <c r="G65" s="19">
        <f>SUM(G63:G64)</f>
        <v>335874</v>
      </c>
    </row>
    <row r="66" spans="1:13" ht="18.75" x14ac:dyDescent="0.3">
      <c r="A66" s="23" t="s">
        <v>19</v>
      </c>
      <c r="B66" s="23"/>
      <c r="C66" s="23"/>
      <c r="D66" s="23"/>
      <c r="E66" s="23"/>
    </row>
    <row r="67" spans="1:13" ht="20.25" x14ac:dyDescent="0.4">
      <c r="A67" s="3" t="s">
        <v>41</v>
      </c>
      <c r="B67" s="3" t="s">
        <v>45</v>
      </c>
      <c r="C67" s="3">
        <f>G65</f>
        <v>335874</v>
      </c>
      <c r="D67" s="13"/>
      <c r="E67" s="13" t="s">
        <v>22</v>
      </c>
    </row>
    <row r="68" spans="1:13" ht="18.75" x14ac:dyDescent="0.4">
      <c r="A68" s="3" t="s">
        <v>42</v>
      </c>
      <c r="B68" s="3" t="s">
        <v>43</v>
      </c>
      <c r="C68" s="18">
        <f>B59</f>
        <v>309927</v>
      </c>
      <c r="D68" s="5"/>
      <c r="E68" s="5"/>
    </row>
    <row r="69" spans="1:13" ht="18.75" x14ac:dyDescent="0.4">
      <c r="B69" s="3" t="s">
        <v>44</v>
      </c>
      <c r="C69" s="19">
        <f>C67-C68</f>
        <v>25947</v>
      </c>
    </row>
    <row r="71" spans="1:13" x14ac:dyDescent="0.2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</row>
    <row r="72" spans="1:13" ht="18.75" x14ac:dyDescent="0.3">
      <c r="A72" s="29" t="s">
        <v>10</v>
      </c>
      <c r="B72" s="29"/>
      <c r="C72" s="29"/>
      <c r="D72" s="29"/>
      <c r="E72" s="29"/>
      <c r="F72" s="29"/>
      <c r="G72" s="29"/>
      <c r="H72" s="29"/>
      <c r="I72" s="29"/>
      <c r="J72" s="29"/>
    </row>
    <row r="73" spans="1:13" ht="18.75" x14ac:dyDescent="0.3">
      <c r="A73" s="10" t="s">
        <v>1</v>
      </c>
      <c r="B73" s="10" t="s">
        <v>2</v>
      </c>
      <c r="C73" s="10" t="s">
        <v>7</v>
      </c>
      <c r="D73" s="10" t="s">
        <v>3</v>
      </c>
      <c r="E73" s="10" t="s">
        <v>4</v>
      </c>
      <c r="F73" s="28"/>
      <c r="G73" s="28"/>
      <c r="H73" s="28"/>
      <c r="I73" s="28"/>
      <c r="J73" s="28"/>
    </row>
    <row r="74" spans="1:13" ht="18.75" x14ac:dyDescent="0.3">
      <c r="A74" s="28" t="s">
        <v>42</v>
      </c>
      <c r="B74" s="16" t="s">
        <v>46</v>
      </c>
      <c r="C74" s="16" t="s">
        <v>47</v>
      </c>
      <c r="D74" s="28"/>
      <c r="E74" s="16">
        <v>106562</v>
      </c>
      <c r="F74" s="28"/>
      <c r="G74" s="28"/>
      <c r="H74" s="28"/>
      <c r="I74" s="28"/>
      <c r="J74" s="28"/>
    </row>
    <row r="75" spans="1:13" ht="18.75" x14ac:dyDescent="0.3">
      <c r="A75" s="28" t="s">
        <v>48</v>
      </c>
      <c r="B75" s="16" t="s">
        <v>49</v>
      </c>
      <c r="C75" s="16" t="s">
        <v>50</v>
      </c>
      <c r="D75" s="16">
        <v>1200</v>
      </c>
      <c r="E75" s="16">
        <v>28800</v>
      </c>
      <c r="F75" s="28"/>
      <c r="G75" s="28"/>
      <c r="H75" s="28"/>
      <c r="I75" s="28"/>
      <c r="J75" s="28"/>
    </row>
    <row r="76" spans="1:13" ht="18.75" x14ac:dyDescent="0.3">
      <c r="A76" s="28" t="s">
        <v>48</v>
      </c>
      <c r="B76" s="16" t="s">
        <v>51</v>
      </c>
      <c r="C76" s="16" t="s">
        <v>52</v>
      </c>
      <c r="D76" s="16">
        <v>12000</v>
      </c>
      <c r="E76" s="16">
        <v>5000</v>
      </c>
      <c r="F76" s="28"/>
      <c r="G76" s="28"/>
      <c r="H76" s="28"/>
      <c r="I76" s="28"/>
      <c r="J76" s="28"/>
    </row>
    <row r="77" spans="1:13" ht="18.75" x14ac:dyDescent="0.3">
      <c r="A77" s="28"/>
      <c r="B77" s="28"/>
      <c r="C77" s="28"/>
      <c r="D77" s="28"/>
      <c r="E77" s="28"/>
      <c r="F77" s="28"/>
      <c r="G77" s="28"/>
      <c r="H77" s="28"/>
      <c r="I77" s="28"/>
      <c r="J77" s="28"/>
    </row>
  </sheetData>
  <mergeCells count="11">
    <mergeCell ref="A72:J72"/>
    <mergeCell ref="B45:J45"/>
    <mergeCell ref="B61:G61"/>
    <mergeCell ref="A66:E66"/>
    <mergeCell ref="A2:J2"/>
    <mergeCell ref="H10:J10"/>
    <mergeCell ref="A40:E40"/>
    <mergeCell ref="B24:J24"/>
    <mergeCell ref="A20:E20"/>
    <mergeCell ref="B31:G31"/>
    <mergeCell ref="A10:G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Abiodun Itobi</dc:creator>
  <cp:lastModifiedBy>Abiodun Itobi</cp:lastModifiedBy>
  <dcterms:created xsi:type="dcterms:W3CDTF">2026-03-14T01:06:11Z</dcterms:created>
  <dcterms:modified xsi:type="dcterms:W3CDTF">2026-03-20T13:58:15Z</dcterms:modified>
</cp:coreProperties>
</file>